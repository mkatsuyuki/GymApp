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5"/>
    <sheet state="visible" name="B" sheetId="2" r:id="rId6"/>
    <sheet state="visible" name="C" sheetId="3" r:id="rId7"/>
    <sheet state="visible" name="D" sheetId="4" r:id="rId8"/>
    <sheet state="visible" name="Cardio" sheetId="5" r:id="rId9"/>
    <sheet state="visible" name="Treino Semanal" sheetId="6" r:id="rId10"/>
    <sheet state="visible" name="Periodização" sheetId="7" r:id="rId11"/>
  </sheets>
  <definedNames/>
  <calcPr/>
</workbook>
</file>

<file path=xl/sharedStrings.xml><?xml version="1.0" encoding="utf-8"?>
<sst xmlns="http://schemas.openxmlformats.org/spreadsheetml/2006/main" count="1398" uniqueCount="180">
  <si>
    <t>TREINO A — Inferiores</t>
  </si>
  <si>
    <t>MOBILIDADE / ALONGAMENTO</t>
  </si>
  <si>
    <t>Exercício</t>
  </si>
  <si>
    <t>Séries/Reps</t>
  </si>
  <si>
    <t>MOBILIDADE ADUTOR</t>
  </si>
  <si>
    <t>1x10</t>
  </si>
  <si>
    <t>ALONGAMENTO GLÚTEO</t>
  </si>
  <si>
    <t>1x30</t>
  </si>
  <si>
    <t>MOBILIDADE QUADRIL</t>
  </si>
  <si>
    <t>ALONGAMENTO POSTERIOR</t>
  </si>
  <si>
    <t>90-90 DINÂMICO</t>
  </si>
  <si>
    <t>ROTAÇÃO EXTERNA DE QUADRIL AJOELHADO</t>
  </si>
  <si>
    <t>ROTAÇÃO DE COLUNA</t>
  </si>
  <si>
    <t>TREINO</t>
  </si>
  <si>
    <t>Descanso</t>
  </si>
  <si>
    <t>Cadência</t>
  </si>
  <si>
    <t>REPS</t>
  </si>
  <si>
    <t>Segundos</t>
  </si>
  <si>
    <t>2 e 2</t>
  </si>
  <si>
    <t>20+</t>
  </si>
  <si>
    <t>12 a 20</t>
  </si>
  <si>
    <t>40-70</t>
  </si>
  <si>
    <t>8 a 12</t>
  </si>
  <si>
    <t>90-120</t>
  </si>
  <si>
    <t>menos de 8</t>
  </si>
  <si>
    <t>120+</t>
  </si>
  <si>
    <t>AGACHAMENTO LIVRE BARRA</t>
  </si>
  <si>
    <t>Série</t>
  </si>
  <si>
    <t>Reps Alvo</t>
  </si>
  <si>
    <t>Esforço</t>
  </si>
  <si>
    <t>Obs</t>
  </si>
  <si>
    <t>Sessão 1</t>
  </si>
  <si>
    <t>Sessão 2</t>
  </si>
  <si>
    <t>Sessão 3</t>
  </si>
  <si>
    <t>Sessão 4</t>
  </si>
  <si>
    <t>Sessão 5</t>
  </si>
  <si>
    <t>Sessão 6</t>
  </si>
  <si>
    <t>Sessão 7</t>
  </si>
  <si>
    <t>Sessão 8</t>
  </si>
  <si>
    <t>Sessão 9</t>
  </si>
  <si>
    <t>Sessão 10</t>
  </si>
  <si>
    <t>Carga</t>
  </si>
  <si>
    <t>Reps</t>
  </si>
  <si>
    <t>WARMUP</t>
  </si>
  <si>
    <t>15 a 10</t>
  </si>
  <si>
    <t>30% 10 REPS</t>
  </si>
  <si>
    <t>FEEDER</t>
  </si>
  <si>
    <t>6 a 4</t>
  </si>
  <si>
    <t>50% 5 REPS</t>
  </si>
  <si>
    <t>80% 4 REPS</t>
  </si>
  <si>
    <t>1ª SÉRIE</t>
  </si>
  <si>
    <t>10 a 8</t>
  </si>
  <si>
    <t>2ª SÉRIE</t>
  </si>
  <si>
    <t>3ª SÉRIE</t>
  </si>
  <si>
    <t>8 a 6</t>
  </si>
  <si>
    <t>VOLUME</t>
  </si>
  <si>
    <t>-</t>
  </si>
  <si>
    <t>MESA FLEXORA</t>
  </si>
  <si>
    <t>10-falha</t>
  </si>
  <si>
    <t>STIFF BARRA LIVRE</t>
  </si>
  <si>
    <t>7-6</t>
  </si>
  <si>
    <t>9-7</t>
  </si>
  <si>
    <t>CADEIRA ABDUTORA</t>
  </si>
  <si>
    <t>9-8</t>
  </si>
  <si>
    <t>9.0</t>
  </si>
  <si>
    <t>4ª SÉRIE</t>
  </si>
  <si>
    <t>PUXADOR FRENTE PRONADO</t>
  </si>
  <si>
    <t>6-4</t>
  </si>
  <si>
    <t>TREINO B — Push</t>
  </si>
  <si>
    <t>ALONGAMENTO ROTAÇÃO EXTERNA</t>
  </si>
  <si>
    <t>MOBILIDADE OMBRO</t>
  </si>
  <si>
    <t>ALONGAMENTO PEITORAL</t>
  </si>
  <si>
    <t>2x30</t>
  </si>
  <si>
    <t>ROTAÇÃO EXTERNA</t>
  </si>
  <si>
    <t>ROTAÇÃO EXTERNA ISOMÉTRICA</t>
  </si>
  <si>
    <t>ENCOLHIMENTO MÁQ</t>
  </si>
  <si>
    <t>SUPINO INCLINADO HALTER</t>
  </si>
  <si>
    <t>7-5</t>
  </si>
  <si>
    <t>CRUCIFIXO RETO MÁQUINA</t>
  </si>
  <si>
    <t>DESENVOLVIMENTO HALTER</t>
  </si>
  <si>
    <t>REMADA SENTADO MÁQUINA</t>
  </si>
  <si>
    <t>CRUCIFIXO INVERSO MÁQUINA</t>
  </si>
  <si>
    <t>TRÍCEPS FRANCÊS UNILAT. POLIA (MATRIX - na frente da esteira</t>
  </si>
  <si>
    <t>ROSCA SCOTT UNILAT MÁQUINA</t>
  </si>
  <si>
    <t>TREINO C — Inferiores</t>
  </si>
  <si>
    <t>1x15</t>
  </si>
  <si>
    <t>LEVANTAMENTO TERRA SUMÔ BARRA</t>
  </si>
  <si>
    <t>AGACHAMENTO BULGARO HALTER</t>
  </si>
  <si>
    <t>EXTENSORA</t>
  </si>
  <si>
    <t>CADEIRA FLEXORA</t>
  </si>
  <si>
    <t>ELEVAÇÃO LATERAL HALTER</t>
  </si>
  <si>
    <t>TREINO D — Pull + Core</t>
  </si>
  <si>
    <t>REMADA CURVADA LIVRE</t>
  </si>
  <si>
    <t>SUPINO RETO MÁQUINA</t>
  </si>
  <si>
    <t>DESENVOLVIMENTO MÁQUINA</t>
  </si>
  <si>
    <t>5-8 RIR</t>
  </si>
  <si>
    <t>ROSCA ALTERNADA</t>
  </si>
  <si>
    <t>TRÍCEPS PULLEY PRONADO</t>
  </si>
  <si>
    <t>CARDIO</t>
  </si>
  <si>
    <t>META</t>
  </si>
  <si>
    <t>90 min - 130-140BPM</t>
  </si>
  <si>
    <t>Semana →</t>
  </si>
  <si>
    <t>Seg</t>
  </si>
  <si>
    <t>Ter</t>
  </si>
  <si>
    <t>Qua</t>
  </si>
  <si>
    <t>Qui</t>
  </si>
  <si>
    <t>Sex</t>
  </si>
  <si>
    <t>Sáb</t>
  </si>
  <si>
    <t>Dom</t>
  </si>
  <si>
    <t>Total</t>
  </si>
  <si>
    <t>VISÃO GERAL DOS TREINOS</t>
  </si>
  <si>
    <t>A - Inferiores</t>
  </si>
  <si>
    <t>B - Push</t>
  </si>
  <si>
    <t>C - Inferiores</t>
  </si>
  <si>
    <t>D - Pull + Core</t>
  </si>
  <si>
    <t>Séries</t>
  </si>
  <si>
    <t>Agachamento barra livre</t>
  </si>
  <si>
    <t>Supino inclinado halter</t>
  </si>
  <si>
    <t>Levantamento terra sumô barra</t>
  </si>
  <si>
    <t>Remada curvada livre</t>
  </si>
  <si>
    <t>Mesa flexora</t>
  </si>
  <si>
    <t>Crucifixo reto máquina</t>
  </si>
  <si>
    <t xml:space="preserve">Agachamento búlgaro halter </t>
  </si>
  <si>
    <t>Remada sentado máquina</t>
  </si>
  <si>
    <t>Stiff barra</t>
  </si>
  <si>
    <t>Desenvolvimento halter</t>
  </si>
  <si>
    <t>Extensora</t>
  </si>
  <si>
    <t>Crucifixo inverso máquina</t>
  </si>
  <si>
    <t>Cadeira abdutora</t>
  </si>
  <si>
    <t>Cadeira flexora</t>
  </si>
  <si>
    <t>Supino reto máquina</t>
  </si>
  <si>
    <t>Puxador frente pronado</t>
  </si>
  <si>
    <t>Elevação lateral halter</t>
  </si>
  <si>
    <t>Desenvolvimento máquina</t>
  </si>
  <si>
    <t>Tríceps francês unilateral polia</t>
  </si>
  <si>
    <t>Rosca alternada</t>
  </si>
  <si>
    <t>Rosca scott unilat halter</t>
  </si>
  <si>
    <t>Tríceps pulley pronado</t>
  </si>
  <si>
    <t>GLOSSÁRIO DE TÉCNICAS</t>
  </si>
  <si>
    <t>RIR</t>
  </si>
  <si>
    <t>Reps na Reserva: repetições que você deve parar antes da falha</t>
  </si>
  <si>
    <t>Myo Séries</t>
  </si>
  <si>
    <t>Série até falha, descanso 20s, +5 reps com mesmo peso, repetir até não sair 5 reps</t>
  </si>
  <si>
    <t>Drop Set</t>
  </si>
  <si>
    <t>Série até falha, reduzir 30% da carga, continuar até falha</t>
  </si>
  <si>
    <t>Cluster Set</t>
  </si>
  <si>
    <t>Repetições divididas em 3-4 blocos com 10-20s de descanso entre eles</t>
  </si>
  <si>
    <t>BackOff</t>
  </si>
  <si>
    <t>Série até falha, descanso 30s, reduzir 30% e fazer mais reps até falha</t>
  </si>
  <si>
    <t>Rest'n Pause</t>
  </si>
  <si>
    <t>Série até falha, descanso 20s, outra série até falha com mesmo peso</t>
  </si>
  <si>
    <t>Bi-Set</t>
  </si>
  <si>
    <t>Uma série do exercício seguida imediatamente de série do próximo exercício</t>
  </si>
  <si>
    <t>PC</t>
  </si>
  <si>
    <t>Pico de Contração: segurar o peso no final da concêntrica pelo tempo determinado</t>
  </si>
  <si>
    <t>PERIODIZAÇÃO</t>
  </si>
  <si>
    <t>Grupo</t>
  </si>
  <si>
    <t>Base</t>
  </si>
  <si>
    <t>Macro</t>
  </si>
  <si>
    <t>Adaptação ao treino novo</t>
  </si>
  <si>
    <t>Força</t>
  </si>
  <si>
    <t>Volumizado de repetições</t>
  </si>
  <si>
    <t>Intensidade</t>
  </si>
  <si>
    <t>12 a 8</t>
  </si>
  <si>
    <t>10 a 6</t>
  </si>
  <si>
    <t>Quads</t>
  </si>
  <si>
    <t>Isquio</t>
  </si>
  <si>
    <t>Glúteo</t>
  </si>
  <si>
    <t>Pantu</t>
  </si>
  <si>
    <t>Costas</t>
  </si>
  <si>
    <t>Peito</t>
  </si>
  <si>
    <t>A Ombro</t>
  </si>
  <si>
    <t>L Ombro</t>
  </si>
  <si>
    <t>P Ombro</t>
  </si>
  <si>
    <t>Bíceps</t>
  </si>
  <si>
    <t>Tríceps</t>
  </si>
  <si>
    <t>Abdômen</t>
  </si>
  <si>
    <t>ISOLADOS</t>
  </si>
  <si>
    <t>Glúteo Méd</t>
  </si>
  <si>
    <t>Panturrilha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</si>
</sst>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0.0%"/>
    <numFmt numFmtId="166" formatCode="yyyy\-mm\-dd\ h:mm:ss"/>
  </numFmts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b/>
      <sz val="9.0"/>
      <color theme="1"/>
      <name val="Arial"/>
    </font>
    <font>
      <sz val="11.0"/>
      <color theme="1"/>
      <name val="Calibri"/>
    </font>
    <font>
      <sz val="9.0"/>
      <color theme="1"/>
      <name val="Arial"/>
    </font>
    <font>
      <b/>
      <sz val="11.0"/>
      <color theme="1"/>
      <name val="Arial"/>
    </font>
    <font>
      <b/>
      <sz val="11.0"/>
      <color rgb="FF1B3A5C"/>
      <name val="Arial"/>
    </font>
    <font>
      <b/>
      <sz val="9.0"/>
      <color rgb="FFFFFFFF"/>
      <name val="Arial"/>
    </font>
    <font>
      <b/>
      <sz val="8.0"/>
      <color rgb="FF666666"/>
      <name val="Arial"/>
    </font>
    <font>
      <b/>
      <sz val="9.0"/>
      <color rgb="FF2D5F8A"/>
      <name val="Arial"/>
    </font>
    <font>
      <b/>
      <sz val="10.0"/>
      <color rgb="FFFFFFFF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1B3A5C"/>
        <bgColor rgb="FF1B3A5C"/>
      </patternFill>
    </fill>
    <fill>
      <patternFill patternType="solid">
        <fgColor rgb="FF2D5F8A"/>
        <bgColor rgb="FF2D5F8A"/>
      </patternFill>
    </fill>
    <fill>
      <patternFill patternType="solid">
        <fgColor rgb="FFE0E0E0"/>
        <bgColor rgb="FFE0E0E0"/>
      </patternFill>
    </fill>
    <fill>
      <patternFill patternType="solid">
        <fgColor rgb="FFFFF2CC"/>
        <bgColor rgb="FFFFF2CC"/>
      </patternFill>
    </fill>
    <fill>
      <patternFill patternType="solid">
        <fgColor rgb="FFD6E8F7"/>
        <bgColor rgb="FFD6E8F7"/>
      </patternFill>
    </fill>
    <fill>
      <patternFill patternType="solid">
        <fgColor rgb="FFE8782A"/>
        <bgColor rgb="FFE8782A"/>
      </patternFill>
    </fill>
    <fill>
      <patternFill patternType="solid">
        <fgColor rgb="FFF5F5F5"/>
        <bgColor rgb="FFF5F5F5"/>
      </patternFill>
    </fill>
    <fill>
      <patternFill patternType="solid">
        <fgColor rgb="FFE8F5E9"/>
        <bgColor rgb="FFE8F5E9"/>
      </patternFill>
    </fill>
    <fill>
      <patternFill patternType="solid">
        <fgColor rgb="FFFFF2E5"/>
        <bgColor rgb="FFFFF2E5"/>
      </patternFill>
    </fill>
    <fill>
      <patternFill patternType="solid">
        <fgColor rgb="FFEBF3FA"/>
        <bgColor rgb="FFEBF3FA"/>
      </patternFill>
    </fill>
  </fills>
  <borders count="14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dotted">
        <color rgb="FFE6B800"/>
      </left>
      <top style="dotted">
        <color rgb="FFE6B800"/>
      </top>
      <bottom style="dotted">
        <color rgb="FFE6B800"/>
      </bottom>
    </border>
    <border>
      <top style="dotted">
        <color rgb="FFE6B800"/>
      </top>
      <bottom style="dotted">
        <color rgb="FFE6B800"/>
      </bottom>
    </border>
    <border>
      <right style="dotted">
        <color rgb="FFE6B800"/>
      </right>
      <top style="dotted">
        <color rgb="FFE6B800"/>
      </top>
      <bottom style="dotted">
        <color rgb="FFE6B800"/>
      </bottom>
    </border>
    <border>
      <left style="dotted">
        <color rgb="FFE6B800"/>
      </left>
      <right style="dotted">
        <color rgb="FFE6B800"/>
      </right>
      <top style="dotted">
        <color rgb="FFE6B800"/>
      </top>
      <bottom style="dotted">
        <color rgb="FFE6B8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4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5" fillId="5" fontId="4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8" fillId="5" fontId="4" numFmtId="0" xfId="0" applyAlignment="1" applyBorder="1" applyFont="1">
      <alignment horizontal="center" shrinkToFit="0" vertical="center" wrapText="1"/>
    </xf>
    <xf borderId="5" fillId="5" fontId="6" numFmtId="0" xfId="0" applyAlignment="1" applyBorder="1" applyFont="1">
      <alignment horizontal="center" shrinkToFit="0" vertical="center" wrapText="1"/>
    </xf>
    <xf borderId="8" fillId="5" fontId="6" numFmtId="0" xfId="0" applyAlignment="1" applyBorder="1" applyFont="1">
      <alignment horizontal="center" shrinkToFit="0" vertical="center" wrapText="1"/>
    </xf>
    <xf borderId="8" fillId="5" fontId="5" numFmtId="0" xfId="0" applyAlignment="1" applyBorder="1" applyFont="1">
      <alignment vertical="bottom"/>
    </xf>
    <xf borderId="9" fillId="6" fontId="8" numFmtId="0" xfId="0" applyAlignment="1" applyBorder="1" applyFill="1" applyFont="1">
      <alignment horizontal="left" shrinkToFit="0" vertical="center" wrapText="1"/>
    </xf>
    <xf borderId="10" fillId="0" fontId="2" numFmtId="0" xfId="0" applyBorder="1" applyFont="1"/>
    <xf borderId="11" fillId="0" fontId="2" numFmtId="0" xfId="0" applyBorder="1" applyFont="1"/>
    <xf borderId="12" fillId="4" fontId="4" numFmtId="0" xfId="0" applyAlignment="1" applyBorder="1" applyFont="1">
      <alignment horizontal="center" shrinkToFit="0" vertical="center" wrapText="1"/>
    </xf>
    <xf borderId="9" fillId="7" fontId="9" numFmtId="0" xfId="0" applyAlignment="1" applyBorder="1" applyFill="1" applyFont="1">
      <alignment horizontal="center" shrinkToFit="0" vertical="center" wrapText="1"/>
    </xf>
    <xf borderId="13" fillId="0" fontId="2" numFmtId="0" xfId="0" applyBorder="1" applyFont="1"/>
    <xf borderId="4" fillId="8" fontId="10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ill="1" applyFont="1">
      <alignment horizontal="center" shrinkToFit="0" vertical="center" wrapText="1"/>
    </xf>
    <xf borderId="4" fillId="9" fontId="6" numFmtId="0" xfId="0" applyAlignment="1" applyBorder="1" applyFont="1">
      <alignment horizontal="center" readingOrder="0" shrinkToFit="0" vertical="center" wrapText="1"/>
    </xf>
    <xf borderId="4" fillId="9" fontId="6" numFmtId="164" xfId="0" applyAlignment="1" applyBorder="1" applyFont="1" applyNumberFormat="1">
      <alignment horizontal="center" readingOrder="0" shrinkToFit="0" vertical="center" wrapText="1"/>
    </xf>
    <xf borderId="4" fillId="9" fontId="6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164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10" fontId="6" numFmtId="0" xfId="0" applyAlignment="1" applyBorder="1" applyFill="1" applyFont="1">
      <alignment horizontal="center" readingOrder="0" shrinkToFit="0" vertical="center" wrapText="1"/>
    </xf>
    <xf borderId="4" fillId="10" fontId="6" numFmtId="0" xfId="0" applyAlignment="1" applyBorder="1" applyFont="1">
      <alignment horizontal="center" shrinkToFit="0" vertical="center" wrapText="1"/>
    </xf>
    <xf borderId="4" fillId="11" fontId="11" numFmtId="0" xfId="0" applyAlignment="1" applyBorder="1" applyFill="1" applyFont="1">
      <alignment horizontal="center" shrinkToFit="0" vertical="center" wrapText="1"/>
    </xf>
    <xf borderId="4" fillId="11" fontId="5" numFmtId="0" xfId="0" applyAlignment="1" applyBorder="1" applyFont="1">
      <alignment vertical="bottom"/>
    </xf>
    <xf borderId="4" fillId="11" fontId="11" numFmtId="0" xfId="0" applyAlignment="1" applyBorder="1" applyFont="1">
      <alignment horizontal="center" readingOrder="0" shrinkToFit="0" vertical="center" wrapText="1"/>
    </xf>
    <xf borderId="4" fillId="11" fontId="11" numFmtId="49" xfId="0" applyAlignment="1" applyBorder="1" applyFont="1" applyNumberFormat="1">
      <alignment horizontal="center" shrinkToFit="0" vertical="center" wrapText="1"/>
    </xf>
    <xf borderId="4" fillId="11" fontId="11" numFmtId="10" xfId="0" applyAlignment="1" applyBorder="1" applyFont="1" applyNumberForma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9" fontId="6" numFmtId="0" xfId="0" applyAlignment="1" applyBorder="1" applyFont="1">
      <alignment horizontal="left" shrinkToFit="0" vertical="center" wrapText="1"/>
    </xf>
    <xf borderId="4" fillId="4" fontId="5" numFmtId="0" xfId="0" applyAlignment="1" applyBorder="1" applyFont="1">
      <alignment vertical="bottom"/>
    </xf>
    <xf borderId="4" fillId="11" fontId="11" numFmtId="165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4" numFmtId="166" xfId="0" applyAlignment="1" applyFont="1" applyNumberForma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5C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54.14"/>
    <col customWidth="1" min="2" max="3" width="10.0"/>
    <col customWidth="1" min="4" max="4" width="14.0"/>
    <col customWidth="1" min="5" max="5" width="8.0"/>
    <col customWidth="1" min="6" max="6" width="6.0"/>
    <col customWidth="1" min="7" max="7" width="8.0"/>
    <col customWidth="1" min="8" max="8" width="6.57"/>
    <col customWidth="1" min="9" max="9" width="8.0"/>
    <col customWidth="1" min="10" max="10" width="6.0"/>
    <col customWidth="1" min="11" max="11" width="8.0"/>
    <col customWidth="1" min="12" max="12" width="6.0"/>
    <col customWidth="1" min="13" max="13" width="8.0"/>
    <col customWidth="1" min="14" max="14" width="6.0"/>
    <col customWidth="1" min="15" max="15" width="8.0"/>
    <col customWidth="1" min="16" max="16" width="6.0"/>
    <col customWidth="1" min="17" max="17" width="8.0"/>
    <col customWidth="1" min="18" max="18" width="6.0"/>
    <col customWidth="1" min="19" max="19" width="8.0"/>
    <col customWidth="1" min="20" max="20" width="6.0"/>
    <col customWidth="1" min="21" max="21" width="8.0"/>
    <col customWidth="1" min="22" max="22" width="6.0"/>
    <col customWidth="1" min="23" max="23" width="8.0"/>
    <col customWidth="1" min="24" max="24" width="6.0"/>
    <col customWidth="1" min="25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5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</row>
    <row r="3" ht="21.75" customHeight="1">
      <c r="A3" s="5" t="s">
        <v>2</v>
      </c>
      <c r="B3" s="5" t="s">
        <v>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7" t="s">
        <v>4</v>
      </c>
      <c r="B4" s="7" t="s">
        <v>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7" t="s">
        <v>6</v>
      </c>
      <c r="B5" s="7" t="s">
        <v>7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7" t="s">
        <v>8</v>
      </c>
      <c r="B6" s="7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7" t="s">
        <v>9</v>
      </c>
      <c r="B7" s="7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ht="15.0" customHeight="1">
      <c r="A8" s="7" t="s">
        <v>10</v>
      </c>
      <c r="B8" s="7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7" t="s">
        <v>11</v>
      </c>
      <c r="B9" s="7" t="s">
        <v>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7" t="s">
        <v>12</v>
      </c>
      <c r="B10" s="7" t="s">
        <v>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5.0" customHeight="1">
      <c r="A12" s="8" t="s">
        <v>13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15.0" customHeight="1">
      <c r="A14" s="9" t="s">
        <v>14</v>
      </c>
      <c r="B14" s="10"/>
      <c r="C14" s="11"/>
      <c r="D14" s="12" t="s">
        <v>15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5.0" customHeight="1">
      <c r="A15" s="9" t="s">
        <v>16</v>
      </c>
      <c r="B15" s="11"/>
      <c r="C15" s="12" t="s">
        <v>17</v>
      </c>
      <c r="D15" s="12" t="s">
        <v>18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15.0" customHeight="1">
      <c r="A16" s="13" t="s">
        <v>19</v>
      </c>
      <c r="B16" s="11"/>
      <c r="C16" s="14">
        <v>40.0</v>
      </c>
      <c r="D16" s="1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5.0" customHeight="1">
      <c r="A17" s="13" t="s">
        <v>20</v>
      </c>
      <c r="B17" s="11"/>
      <c r="C17" s="14" t="s">
        <v>21</v>
      </c>
      <c r="D17" s="1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5.0" customHeight="1">
      <c r="A18" s="13" t="s">
        <v>22</v>
      </c>
      <c r="B18" s="11"/>
      <c r="C18" s="14" t="s">
        <v>23</v>
      </c>
      <c r="D18" s="1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5.0" customHeight="1">
      <c r="A19" s="13" t="s">
        <v>24</v>
      </c>
      <c r="B19" s="11"/>
      <c r="C19" s="14" t="s">
        <v>25</v>
      </c>
      <c r="D19" s="1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24.0" customHeight="1">
      <c r="A21" s="16" t="s">
        <v>26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8"/>
    </row>
    <row r="22" ht="15.0" customHeight="1">
      <c r="A22" s="19" t="s">
        <v>27</v>
      </c>
      <c r="B22" s="19" t="s">
        <v>28</v>
      </c>
      <c r="C22" s="19" t="s">
        <v>29</v>
      </c>
      <c r="D22" s="19" t="s">
        <v>30</v>
      </c>
      <c r="E22" s="20" t="s">
        <v>31</v>
      </c>
      <c r="F22" s="18"/>
      <c r="G22" s="20" t="s">
        <v>32</v>
      </c>
      <c r="H22" s="18"/>
      <c r="I22" s="20" t="s">
        <v>33</v>
      </c>
      <c r="J22" s="18"/>
      <c r="K22" s="20" t="s">
        <v>34</v>
      </c>
      <c r="L22" s="18"/>
      <c r="M22" s="20" t="s">
        <v>35</v>
      </c>
      <c r="N22" s="18"/>
      <c r="O22" s="20" t="s">
        <v>36</v>
      </c>
      <c r="P22" s="18"/>
      <c r="Q22" s="20" t="s">
        <v>37</v>
      </c>
      <c r="R22" s="18"/>
      <c r="S22" s="20" t="s">
        <v>38</v>
      </c>
      <c r="T22" s="18"/>
      <c r="U22" s="20" t="s">
        <v>39</v>
      </c>
      <c r="V22" s="18"/>
      <c r="W22" s="20" t="s">
        <v>40</v>
      </c>
      <c r="X22" s="18"/>
    </row>
    <row r="23" ht="15.0" customHeight="1">
      <c r="A23" s="21"/>
      <c r="B23" s="21"/>
      <c r="C23" s="21"/>
      <c r="D23" s="21"/>
      <c r="E23" s="22" t="s">
        <v>41</v>
      </c>
      <c r="F23" s="22" t="s">
        <v>42</v>
      </c>
      <c r="G23" s="22" t="s">
        <v>41</v>
      </c>
      <c r="H23" s="22" t="s">
        <v>42</v>
      </c>
      <c r="I23" s="22" t="s">
        <v>41</v>
      </c>
      <c r="J23" s="22" t="s">
        <v>42</v>
      </c>
      <c r="K23" s="22" t="s">
        <v>41</v>
      </c>
      <c r="L23" s="22" t="s">
        <v>42</v>
      </c>
      <c r="M23" s="22" t="s">
        <v>41</v>
      </c>
      <c r="N23" s="22" t="s">
        <v>42</v>
      </c>
      <c r="O23" s="22" t="s">
        <v>41</v>
      </c>
      <c r="P23" s="22" t="s">
        <v>42</v>
      </c>
      <c r="Q23" s="22" t="s">
        <v>41</v>
      </c>
      <c r="R23" s="22" t="s">
        <v>42</v>
      </c>
      <c r="S23" s="22" t="s">
        <v>41</v>
      </c>
      <c r="T23" s="22" t="s">
        <v>42</v>
      </c>
      <c r="U23" s="22" t="s">
        <v>41</v>
      </c>
      <c r="V23" s="22" t="s">
        <v>42</v>
      </c>
      <c r="W23" s="22" t="s">
        <v>41</v>
      </c>
      <c r="X23" s="22" t="s">
        <v>42</v>
      </c>
    </row>
    <row r="24" ht="15.0" customHeight="1">
      <c r="A24" s="23" t="s">
        <v>43</v>
      </c>
      <c r="B24" s="24" t="s">
        <v>44</v>
      </c>
      <c r="C24" s="25">
        <v>46177.0</v>
      </c>
      <c r="D24" s="26" t="s">
        <v>45</v>
      </c>
      <c r="E24" s="24">
        <v>20.0</v>
      </c>
      <c r="F24" s="24">
        <v>12.0</v>
      </c>
      <c r="G24" s="24">
        <v>20.0</v>
      </c>
      <c r="H24" s="24">
        <v>12.0</v>
      </c>
      <c r="I24" s="24">
        <v>20.0</v>
      </c>
      <c r="J24" s="24">
        <v>12.0</v>
      </c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ht="15.0" customHeight="1">
      <c r="A25" s="23" t="s">
        <v>46</v>
      </c>
      <c r="B25" s="24" t="s">
        <v>47</v>
      </c>
      <c r="C25" s="25">
        <v>46208.0</v>
      </c>
      <c r="D25" s="26" t="s">
        <v>48</v>
      </c>
      <c r="E25" s="24">
        <v>40.0</v>
      </c>
      <c r="F25" s="24">
        <v>5.0</v>
      </c>
      <c r="G25" s="24">
        <v>40.0</v>
      </c>
      <c r="H25" s="24">
        <v>5.0</v>
      </c>
      <c r="I25" s="24">
        <v>40.0</v>
      </c>
      <c r="J25" s="24">
        <v>6.0</v>
      </c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ht="15.0" customHeight="1">
      <c r="A26" s="23" t="s">
        <v>46</v>
      </c>
      <c r="B26" s="24" t="s">
        <v>47</v>
      </c>
      <c r="C26" s="25">
        <v>46209.0</v>
      </c>
      <c r="D26" s="26" t="s">
        <v>49</v>
      </c>
      <c r="E26" s="24">
        <v>60.0</v>
      </c>
      <c r="F26" s="24">
        <v>4.0</v>
      </c>
      <c r="G26" s="24">
        <v>60.0</v>
      </c>
      <c r="H26" s="24">
        <v>6.0</v>
      </c>
      <c r="I26" s="24">
        <v>60.0</v>
      </c>
      <c r="J26" s="24">
        <v>6.0</v>
      </c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 ht="15.0" customHeight="1">
      <c r="A27" s="27" t="s">
        <v>50</v>
      </c>
      <c r="B27" s="28" t="s">
        <v>51</v>
      </c>
      <c r="C27" s="29">
        <v>46272.0</v>
      </c>
      <c r="D27" s="30"/>
      <c r="E27" s="31">
        <v>80.0</v>
      </c>
      <c r="F27" s="31">
        <v>4.0</v>
      </c>
      <c r="G27" s="31">
        <v>80.0</v>
      </c>
      <c r="H27" s="31">
        <v>4.0</v>
      </c>
      <c r="I27" s="31">
        <v>70.0</v>
      </c>
      <c r="J27" s="31">
        <v>5.0</v>
      </c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ht="15.0" customHeight="1">
      <c r="A28" s="27" t="s">
        <v>52</v>
      </c>
      <c r="B28" s="28" t="s">
        <v>51</v>
      </c>
      <c r="C28" s="29">
        <v>46273.0</v>
      </c>
      <c r="D28" s="30"/>
      <c r="E28" s="31">
        <v>60.0</v>
      </c>
      <c r="F28" s="31">
        <v>8.0</v>
      </c>
      <c r="G28" s="31">
        <v>80.0</v>
      </c>
      <c r="H28" s="31">
        <v>5.0</v>
      </c>
      <c r="I28" s="31">
        <v>70.0</v>
      </c>
      <c r="J28" s="31">
        <v>5.0</v>
      </c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ht="15.0" customHeight="1">
      <c r="A29" s="27" t="s">
        <v>53</v>
      </c>
      <c r="B29" s="28" t="s">
        <v>54</v>
      </c>
      <c r="C29" s="28">
        <v>9.0</v>
      </c>
      <c r="D29" s="30"/>
      <c r="E29" s="31">
        <v>60.0</v>
      </c>
      <c r="F29" s="31">
        <v>8.0</v>
      </c>
      <c r="G29" s="31">
        <v>60.0</v>
      </c>
      <c r="H29" s="31">
        <v>10.0</v>
      </c>
      <c r="I29" s="31">
        <v>60.0</v>
      </c>
      <c r="J29" s="31">
        <v>8.0</v>
      </c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ht="32.25" customHeight="1">
      <c r="A30" s="33" t="s">
        <v>55</v>
      </c>
      <c r="B30" s="34"/>
      <c r="C30" s="34"/>
      <c r="D30" s="34"/>
      <c r="E30" s="35" t="s">
        <v>56</v>
      </c>
      <c r="F30" s="36">
        <f>IFERROR(SUMPRODUCT(E27:E29,F27:F29),"")</f>
        <v>1280</v>
      </c>
      <c r="G30" s="37">
        <f>IFERROR((H30-F30)/F30,"")</f>
        <v>0.03125</v>
      </c>
      <c r="H30" s="36">
        <f>IFERROR(SUMPRODUCT(G27:G29,H27:H29),"")</f>
        <v>1320</v>
      </c>
      <c r="I30" s="37">
        <f>IFERROR((J30-H30)/H30,"")</f>
        <v>-0.1060606061</v>
      </c>
      <c r="J30" s="36">
        <f>IFERROR(SUMPRODUCT(I27:I29,J27:J29),"")</f>
        <v>1180</v>
      </c>
      <c r="K30" s="37">
        <f>IFERROR((L30-J30)/J30,"")</f>
        <v>-1</v>
      </c>
      <c r="L30" s="36">
        <f>IFERROR(SUMPRODUCT(K27:K29,L27:L29),"")</f>
        <v>0</v>
      </c>
      <c r="M30" s="37" t="str">
        <f>IFERROR((N30-L30)/L30,"")</f>
        <v/>
      </c>
      <c r="N30" s="36">
        <f>IFERROR(SUMPRODUCT(M27:M29,N27:N29),"")</f>
        <v>0</v>
      </c>
      <c r="O30" s="37" t="str">
        <f>IFERROR((P30-N30)/N30,"")</f>
        <v/>
      </c>
      <c r="P30" s="36">
        <f>IFERROR(SUMPRODUCT(O27:O29,P27:P29),"")</f>
        <v>0</v>
      </c>
      <c r="Q30" s="37" t="str">
        <f>IFERROR((R30-P30)/P30,"")</f>
        <v/>
      </c>
      <c r="R30" s="36">
        <f>IFERROR(SUMPRODUCT(Q27:Q29,R27:R29),"")</f>
        <v>0</v>
      </c>
      <c r="S30" s="37" t="str">
        <f>IFERROR((T30-R30)/R30,"")</f>
        <v/>
      </c>
      <c r="T30" s="36">
        <f>IFERROR(SUMPRODUCT(S27:S29,T27:T29),"")</f>
        <v>0</v>
      </c>
      <c r="U30" s="37" t="str">
        <f>IFERROR((V30-T30)/T30,"")</f>
        <v/>
      </c>
      <c r="V30" s="36">
        <f>IFERROR(SUMPRODUCT(U27:U29,V27:V29),"")</f>
        <v>0</v>
      </c>
      <c r="W30" s="37" t="str">
        <f>IFERROR((X30-V30)/V30,"")</f>
        <v/>
      </c>
      <c r="X30" s="36">
        <f>IFERROR(SUMPRODUCT(W27:W29,X27:X29),"")</f>
        <v>0</v>
      </c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ht="24.0" customHeight="1">
      <c r="A32" s="16" t="s">
        <v>57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8"/>
    </row>
    <row r="33" ht="15.0" customHeight="1">
      <c r="A33" s="19" t="s">
        <v>27</v>
      </c>
      <c r="B33" s="19" t="s">
        <v>28</v>
      </c>
      <c r="C33" s="19" t="s">
        <v>29</v>
      </c>
      <c r="D33" s="19" t="s">
        <v>30</v>
      </c>
      <c r="E33" s="20" t="s">
        <v>31</v>
      </c>
      <c r="F33" s="18"/>
      <c r="G33" s="20" t="s">
        <v>32</v>
      </c>
      <c r="H33" s="18"/>
      <c r="I33" s="20" t="s">
        <v>33</v>
      </c>
      <c r="J33" s="18"/>
      <c r="K33" s="20" t="s">
        <v>34</v>
      </c>
      <c r="L33" s="18"/>
      <c r="M33" s="20" t="s">
        <v>35</v>
      </c>
      <c r="N33" s="18"/>
      <c r="O33" s="20" t="s">
        <v>36</v>
      </c>
      <c r="P33" s="18"/>
      <c r="Q33" s="20" t="s">
        <v>37</v>
      </c>
      <c r="R33" s="18"/>
      <c r="S33" s="20" t="s">
        <v>38</v>
      </c>
      <c r="T33" s="18"/>
      <c r="U33" s="20" t="s">
        <v>39</v>
      </c>
      <c r="V33" s="18"/>
      <c r="W33" s="20" t="s">
        <v>40</v>
      </c>
      <c r="X33" s="18"/>
    </row>
    <row r="34" ht="15.0" customHeight="1">
      <c r="A34" s="21"/>
      <c r="B34" s="21"/>
      <c r="C34" s="21"/>
      <c r="D34" s="21"/>
      <c r="E34" s="22" t="s">
        <v>41</v>
      </c>
      <c r="F34" s="22" t="s">
        <v>42</v>
      </c>
      <c r="G34" s="22" t="s">
        <v>41</v>
      </c>
      <c r="H34" s="22" t="s">
        <v>42</v>
      </c>
      <c r="I34" s="22" t="s">
        <v>41</v>
      </c>
      <c r="J34" s="22" t="s">
        <v>42</v>
      </c>
      <c r="K34" s="22" t="s">
        <v>41</v>
      </c>
      <c r="L34" s="22" t="s">
        <v>42</v>
      </c>
      <c r="M34" s="22" t="s">
        <v>41</v>
      </c>
      <c r="N34" s="22" t="s">
        <v>42</v>
      </c>
      <c r="O34" s="22" t="s">
        <v>41</v>
      </c>
      <c r="P34" s="22" t="s">
        <v>42</v>
      </c>
      <c r="Q34" s="22" t="s">
        <v>41</v>
      </c>
      <c r="R34" s="22" t="s">
        <v>42</v>
      </c>
      <c r="S34" s="22" t="s">
        <v>41</v>
      </c>
      <c r="T34" s="22" t="s">
        <v>42</v>
      </c>
      <c r="U34" s="22" t="s">
        <v>41</v>
      </c>
      <c r="V34" s="22" t="s">
        <v>42</v>
      </c>
      <c r="W34" s="22" t="s">
        <v>41</v>
      </c>
      <c r="X34" s="22" t="s">
        <v>42</v>
      </c>
    </row>
    <row r="35" ht="15.0" customHeight="1">
      <c r="A35" s="24" t="s">
        <v>43</v>
      </c>
      <c r="B35" s="24" t="s">
        <v>44</v>
      </c>
      <c r="C35" s="25">
        <v>46177.0</v>
      </c>
      <c r="D35" s="26" t="s">
        <v>45</v>
      </c>
      <c r="E35" s="24">
        <v>25.0</v>
      </c>
      <c r="F35" s="24">
        <v>10.0</v>
      </c>
      <c r="G35" s="24">
        <v>15.0</v>
      </c>
      <c r="H35" s="24">
        <v>8.0</v>
      </c>
      <c r="I35" s="24">
        <v>23.0</v>
      </c>
      <c r="J35" s="24">
        <v>12.0</v>
      </c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</row>
    <row r="36" ht="15.0" customHeight="1">
      <c r="A36" s="38" t="s">
        <v>50</v>
      </c>
      <c r="B36" s="28" t="s">
        <v>51</v>
      </c>
      <c r="C36" s="29">
        <v>46273.0</v>
      </c>
      <c r="D36" s="30"/>
      <c r="E36" s="31">
        <v>35.0</v>
      </c>
      <c r="F36" s="31">
        <v>6.0</v>
      </c>
      <c r="G36" s="31">
        <v>20.0</v>
      </c>
      <c r="H36" s="31">
        <v>7.0</v>
      </c>
      <c r="I36" s="31">
        <v>27.0</v>
      </c>
      <c r="J36" s="31">
        <v>10.0</v>
      </c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ht="15.0" customHeight="1">
      <c r="A37" s="38" t="s">
        <v>52</v>
      </c>
      <c r="B37" s="28" t="s">
        <v>54</v>
      </c>
      <c r="C37" s="28" t="s">
        <v>58</v>
      </c>
      <c r="D37" s="30"/>
      <c r="E37" s="31">
        <v>35.0</v>
      </c>
      <c r="F37" s="31">
        <v>6.0</v>
      </c>
      <c r="G37" s="31">
        <v>20.0</v>
      </c>
      <c r="H37" s="31">
        <v>6.0</v>
      </c>
      <c r="I37" s="31">
        <v>27.0</v>
      </c>
      <c r="J37" s="31">
        <v>10.0</v>
      </c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ht="32.25" customHeight="1">
      <c r="A38" s="33" t="s">
        <v>55</v>
      </c>
      <c r="B38" s="34"/>
      <c r="C38" s="34"/>
      <c r="D38" s="34"/>
      <c r="E38" s="35" t="s">
        <v>56</v>
      </c>
      <c r="F38" s="36">
        <f>IFERROR(SUMPRODUCT(E36:E37,F36:F37),"")</f>
        <v>420</v>
      </c>
      <c r="G38" s="37">
        <f>IFERROR((H38-F38)/F38,"")</f>
        <v>-0.380952381</v>
      </c>
      <c r="H38" s="36">
        <f>IFERROR(SUMPRODUCT(G36:G37,H36:H37),"")</f>
        <v>260</v>
      </c>
      <c r="I38" s="37">
        <f>IFERROR((J38-H38)/H38,"")</f>
        <v>1.076923077</v>
      </c>
      <c r="J38" s="36">
        <f>IFERROR(SUMPRODUCT(I36:I37,J36:J37),"")</f>
        <v>540</v>
      </c>
      <c r="K38" s="37">
        <f>IFERROR((L38-J38)/J38,"")</f>
        <v>-1</v>
      </c>
      <c r="L38" s="36">
        <f>IFERROR(SUMPRODUCT(K36:K37,L36:L37),"")</f>
        <v>0</v>
      </c>
      <c r="M38" s="37" t="str">
        <f>IFERROR((N38-L38)/L38,"")</f>
        <v/>
      </c>
      <c r="N38" s="36">
        <f>IFERROR(SUMPRODUCT(M36:M37,N36:N37),"")</f>
        <v>0</v>
      </c>
      <c r="O38" s="37" t="str">
        <f>IFERROR((P38-N38)/N38,"")</f>
        <v/>
      </c>
      <c r="P38" s="36">
        <f>IFERROR(SUMPRODUCT(O36:O37,P36:P37),"")</f>
        <v>0</v>
      </c>
      <c r="Q38" s="37" t="str">
        <f>IFERROR((R38-P38)/P38,"")</f>
        <v/>
      </c>
      <c r="R38" s="36">
        <f>IFERROR(SUMPRODUCT(Q36:Q37,R36:R37),"")</f>
        <v>0</v>
      </c>
      <c r="S38" s="37" t="str">
        <f>IFERROR((T38-R38)/R38,"")</f>
        <v/>
      </c>
      <c r="T38" s="36">
        <f>IFERROR(SUMPRODUCT(S36:S37,T36:T37),"")</f>
        <v>0</v>
      </c>
      <c r="U38" s="37" t="str">
        <f>IFERROR((V38-T38)/T38,"")</f>
        <v/>
      </c>
      <c r="V38" s="36">
        <f>IFERROR(SUMPRODUCT(U36:U37,V36:V37),"")</f>
        <v>0</v>
      </c>
      <c r="W38" s="37" t="str">
        <f>IFERROR((X38-V38)/V38,"")</f>
        <v/>
      </c>
      <c r="X38" s="36">
        <f>IFERROR(SUMPRODUCT(W36:W37,X36:X37),"")</f>
        <v>0</v>
      </c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ht="24.0" customHeight="1">
      <c r="A40" s="16" t="s">
        <v>59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8"/>
    </row>
    <row r="41" ht="15.0" customHeight="1">
      <c r="A41" s="19" t="s">
        <v>27</v>
      </c>
      <c r="B41" s="19" t="s">
        <v>28</v>
      </c>
      <c r="C41" s="19" t="s">
        <v>29</v>
      </c>
      <c r="D41" s="19" t="s">
        <v>30</v>
      </c>
      <c r="E41" s="20" t="s">
        <v>31</v>
      </c>
      <c r="F41" s="18"/>
      <c r="G41" s="20" t="s">
        <v>32</v>
      </c>
      <c r="H41" s="18"/>
      <c r="I41" s="20" t="s">
        <v>33</v>
      </c>
      <c r="J41" s="18"/>
      <c r="K41" s="20" t="s">
        <v>34</v>
      </c>
      <c r="L41" s="18"/>
      <c r="M41" s="20" t="s">
        <v>35</v>
      </c>
      <c r="N41" s="18"/>
      <c r="O41" s="20" t="s">
        <v>36</v>
      </c>
      <c r="P41" s="18"/>
      <c r="Q41" s="20" t="s">
        <v>37</v>
      </c>
      <c r="R41" s="18"/>
      <c r="S41" s="20" t="s">
        <v>38</v>
      </c>
      <c r="T41" s="18"/>
      <c r="U41" s="20" t="s">
        <v>39</v>
      </c>
      <c r="V41" s="18"/>
      <c r="W41" s="20" t="s">
        <v>40</v>
      </c>
      <c r="X41" s="18"/>
    </row>
    <row r="42" ht="15.0" customHeight="1">
      <c r="A42" s="21"/>
      <c r="B42" s="21"/>
      <c r="C42" s="21"/>
      <c r="D42" s="21"/>
      <c r="E42" s="22" t="s">
        <v>41</v>
      </c>
      <c r="F42" s="22" t="s">
        <v>42</v>
      </c>
      <c r="G42" s="22" t="s">
        <v>41</v>
      </c>
      <c r="H42" s="22" t="s">
        <v>42</v>
      </c>
      <c r="I42" s="22" t="s">
        <v>41</v>
      </c>
      <c r="J42" s="22" t="s">
        <v>42</v>
      </c>
      <c r="K42" s="22" t="s">
        <v>41</v>
      </c>
      <c r="L42" s="22" t="s">
        <v>42</v>
      </c>
      <c r="M42" s="22" t="s">
        <v>41</v>
      </c>
      <c r="N42" s="22" t="s">
        <v>42</v>
      </c>
      <c r="O42" s="22" t="s">
        <v>41</v>
      </c>
      <c r="P42" s="22" t="s">
        <v>42</v>
      </c>
      <c r="Q42" s="22" t="s">
        <v>41</v>
      </c>
      <c r="R42" s="22" t="s">
        <v>42</v>
      </c>
      <c r="S42" s="22" t="s">
        <v>41</v>
      </c>
      <c r="T42" s="22" t="s">
        <v>42</v>
      </c>
      <c r="U42" s="22" t="s">
        <v>41</v>
      </c>
      <c r="V42" s="22" t="s">
        <v>42</v>
      </c>
      <c r="W42" s="22" t="s">
        <v>41</v>
      </c>
      <c r="X42" s="22" t="s">
        <v>42</v>
      </c>
    </row>
    <row r="43" ht="15.0" customHeight="1">
      <c r="A43" s="23" t="s">
        <v>46</v>
      </c>
      <c r="B43" s="23" t="s">
        <v>47</v>
      </c>
      <c r="C43" s="23" t="s">
        <v>60</v>
      </c>
      <c r="D43" s="39"/>
      <c r="E43" s="24">
        <v>32.0</v>
      </c>
      <c r="F43" s="24">
        <v>6.0</v>
      </c>
      <c r="G43" s="24">
        <v>40.0</v>
      </c>
      <c r="H43" s="24">
        <v>7.0</v>
      </c>
      <c r="I43" s="24">
        <v>40.0</v>
      </c>
      <c r="J43" s="24">
        <v>8.0</v>
      </c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</row>
    <row r="44" ht="15.0" customHeight="1">
      <c r="A44" s="27" t="s">
        <v>50</v>
      </c>
      <c r="B44" s="7" t="s">
        <v>51</v>
      </c>
      <c r="C44" s="7" t="s">
        <v>61</v>
      </c>
      <c r="D44" s="30"/>
      <c r="E44" s="31">
        <v>40.0</v>
      </c>
      <c r="F44" s="31">
        <v>8.0</v>
      </c>
      <c r="G44" s="31">
        <v>50.0</v>
      </c>
      <c r="H44" s="31">
        <v>10.0</v>
      </c>
      <c r="I44" s="31">
        <v>50.0</v>
      </c>
      <c r="J44" s="31">
        <v>10.0</v>
      </c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ht="15.0" customHeight="1">
      <c r="A45" s="27" t="s">
        <v>52</v>
      </c>
      <c r="B45" s="7" t="s">
        <v>54</v>
      </c>
      <c r="C45" s="7" t="s">
        <v>58</v>
      </c>
      <c r="D45" s="30"/>
      <c r="E45" s="31">
        <v>44.0</v>
      </c>
      <c r="F45" s="31">
        <v>8.0</v>
      </c>
      <c r="G45" s="31">
        <v>50.0</v>
      </c>
      <c r="H45" s="31">
        <v>10.0</v>
      </c>
      <c r="I45" s="31">
        <v>60.0</v>
      </c>
      <c r="J45" s="31">
        <v>8.0</v>
      </c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ht="32.25" customHeight="1">
      <c r="A46" s="33" t="s">
        <v>55</v>
      </c>
      <c r="B46" s="34"/>
      <c r="C46" s="34"/>
      <c r="D46" s="34"/>
      <c r="E46" s="35" t="s">
        <v>56</v>
      </c>
      <c r="F46" s="36">
        <f>IFERROR(SUMPRODUCT(E44:E45,F44:F45),"")</f>
        <v>672</v>
      </c>
      <c r="G46" s="37">
        <f>IFERROR((H46-F46)/F46,"")</f>
        <v>0.4880952381</v>
      </c>
      <c r="H46" s="36">
        <f>IFERROR(SUMPRODUCT(G44:G45,H44:H45),"")</f>
        <v>1000</v>
      </c>
      <c r="I46" s="37">
        <f>IFERROR((J46-H46)/H46,"")</f>
        <v>-0.02</v>
      </c>
      <c r="J46" s="36">
        <f>IFERROR(SUMPRODUCT(I44:I45,J44:J45),"")</f>
        <v>980</v>
      </c>
      <c r="K46" s="37">
        <f>IFERROR((L46-J46)/J46,"")</f>
        <v>-1</v>
      </c>
      <c r="L46" s="36">
        <f>IFERROR(SUMPRODUCT(K44:K45,L44:L45),"")</f>
        <v>0</v>
      </c>
      <c r="M46" s="37" t="str">
        <f>IFERROR((N46-L46)/L46,"")</f>
        <v/>
      </c>
      <c r="N46" s="36">
        <f>IFERROR(SUMPRODUCT(M44:M45,N44:N45),"")</f>
        <v>0</v>
      </c>
      <c r="O46" s="37" t="str">
        <f>IFERROR((P46-N46)/N46,"")</f>
        <v/>
      </c>
      <c r="P46" s="36">
        <f>IFERROR(SUMPRODUCT(O44:O45,P44:P45),"")</f>
        <v>0</v>
      </c>
      <c r="Q46" s="37" t="str">
        <f>IFERROR((R46-P46)/P46,"")</f>
        <v/>
      </c>
      <c r="R46" s="36">
        <f>IFERROR(SUMPRODUCT(Q44:Q45,R44:R45),"")</f>
        <v>0</v>
      </c>
      <c r="S46" s="37" t="str">
        <f>IFERROR((T46-R46)/R46,"")</f>
        <v/>
      </c>
      <c r="T46" s="36">
        <f>IFERROR(SUMPRODUCT(S44:S45,T44:T45),"")</f>
        <v>0</v>
      </c>
      <c r="U46" s="37" t="str">
        <f>IFERROR((V46-T46)/T46,"")</f>
        <v/>
      </c>
      <c r="V46" s="36">
        <f>IFERROR(SUMPRODUCT(U44:U45,V44:V45),"")</f>
        <v>0</v>
      </c>
      <c r="W46" s="37" t="str">
        <f>IFERROR((X46-V46)/V46,"")</f>
        <v/>
      </c>
      <c r="X46" s="36">
        <f>IFERROR(SUMPRODUCT(W44:W45,X44:X45),"")</f>
        <v>0</v>
      </c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ht="24.0" customHeight="1">
      <c r="A48" s="16" t="s">
        <v>62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8"/>
    </row>
    <row r="49" ht="15.0" customHeight="1">
      <c r="A49" s="19" t="s">
        <v>27</v>
      </c>
      <c r="B49" s="19" t="s">
        <v>28</v>
      </c>
      <c r="C49" s="19" t="s">
        <v>29</v>
      </c>
      <c r="D49" s="19" t="s">
        <v>30</v>
      </c>
      <c r="E49" s="20" t="s">
        <v>31</v>
      </c>
      <c r="F49" s="18"/>
      <c r="G49" s="20" t="s">
        <v>32</v>
      </c>
      <c r="H49" s="18"/>
      <c r="I49" s="20" t="s">
        <v>33</v>
      </c>
      <c r="J49" s="18"/>
      <c r="K49" s="20" t="s">
        <v>34</v>
      </c>
      <c r="L49" s="18"/>
      <c r="M49" s="20" t="s">
        <v>35</v>
      </c>
      <c r="N49" s="18"/>
      <c r="O49" s="20" t="s">
        <v>36</v>
      </c>
      <c r="P49" s="18"/>
      <c r="Q49" s="20" t="s">
        <v>37</v>
      </c>
      <c r="R49" s="18"/>
      <c r="S49" s="20" t="s">
        <v>38</v>
      </c>
      <c r="T49" s="18"/>
      <c r="U49" s="20" t="s">
        <v>39</v>
      </c>
      <c r="V49" s="18"/>
      <c r="W49" s="20" t="s">
        <v>40</v>
      </c>
      <c r="X49" s="18"/>
    </row>
    <row r="50" ht="15.0" customHeight="1">
      <c r="A50" s="21"/>
      <c r="B50" s="21"/>
      <c r="C50" s="21"/>
      <c r="D50" s="21"/>
      <c r="E50" s="22" t="s">
        <v>41</v>
      </c>
      <c r="F50" s="22" t="s">
        <v>42</v>
      </c>
      <c r="G50" s="22" t="s">
        <v>41</v>
      </c>
      <c r="H50" s="22" t="s">
        <v>42</v>
      </c>
      <c r="I50" s="22" t="s">
        <v>41</v>
      </c>
      <c r="J50" s="22" t="s">
        <v>42</v>
      </c>
      <c r="K50" s="22" t="s">
        <v>41</v>
      </c>
      <c r="L50" s="22" t="s">
        <v>42</v>
      </c>
      <c r="M50" s="22" t="s">
        <v>41</v>
      </c>
      <c r="N50" s="22" t="s">
        <v>42</v>
      </c>
      <c r="O50" s="22" t="s">
        <v>41</v>
      </c>
      <c r="P50" s="22" t="s">
        <v>42</v>
      </c>
      <c r="Q50" s="22" t="s">
        <v>41</v>
      </c>
      <c r="R50" s="22" t="s">
        <v>42</v>
      </c>
      <c r="S50" s="22" t="s">
        <v>41</v>
      </c>
      <c r="T50" s="22" t="s">
        <v>42</v>
      </c>
      <c r="U50" s="22" t="s">
        <v>41</v>
      </c>
      <c r="V50" s="22" t="s">
        <v>42</v>
      </c>
      <c r="W50" s="22" t="s">
        <v>41</v>
      </c>
      <c r="X50" s="22" t="s">
        <v>42</v>
      </c>
    </row>
    <row r="51" ht="15.0" customHeight="1">
      <c r="A51" s="27" t="s">
        <v>50</v>
      </c>
      <c r="B51" s="7" t="s">
        <v>51</v>
      </c>
      <c r="C51" s="7" t="s">
        <v>63</v>
      </c>
      <c r="D51" s="30"/>
      <c r="E51" s="31">
        <v>40.0</v>
      </c>
      <c r="F51" s="31">
        <v>10.0</v>
      </c>
      <c r="G51" s="31">
        <v>55.0</v>
      </c>
      <c r="H51" s="31">
        <v>10.0</v>
      </c>
      <c r="I51" s="31">
        <v>40.0</v>
      </c>
      <c r="J51" s="31">
        <v>10.0</v>
      </c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ht="15.0" customHeight="1">
      <c r="A52" s="27" t="s">
        <v>52</v>
      </c>
      <c r="B52" s="7" t="s">
        <v>51</v>
      </c>
      <c r="C52" s="7" t="s">
        <v>64</v>
      </c>
      <c r="D52" s="30"/>
      <c r="E52" s="31">
        <v>40.0</v>
      </c>
      <c r="F52" s="31">
        <v>10.0</v>
      </c>
      <c r="G52" s="31">
        <v>55.0</v>
      </c>
      <c r="H52" s="31">
        <v>10.0</v>
      </c>
      <c r="I52" s="31">
        <v>40.0</v>
      </c>
      <c r="J52" s="31">
        <v>10.0</v>
      </c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ht="15.0" customHeight="1">
      <c r="A53" s="27" t="s">
        <v>53</v>
      </c>
      <c r="B53" s="7" t="s">
        <v>54</v>
      </c>
      <c r="C53" s="7" t="s">
        <v>64</v>
      </c>
      <c r="D53" s="30"/>
      <c r="E53" s="31">
        <v>40.0</v>
      </c>
      <c r="F53" s="31">
        <v>10.0</v>
      </c>
      <c r="G53" s="31">
        <v>55.0</v>
      </c>
      <c r="H53" s="31">
        <v>10.0</v>
      </c>
      <c r="I53" s="31">
        <v>40.0</v>
      </c>
      <c r="J53" s="31">
        <v>10.0</v>
      </c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ht="15.0" customHeight="1">
      <c r="A54" s="27" t="s">
        <v>65</v>
      </c>
      <c r="B54" s="7" t="s">
        <v>54</v>
      </c>
      <c r="C54" s="7" t="s">
        <v>58</v>
      </c>
      <c r="D54" s="30"/>
      <c r="E54" s="31">
        <v>4.0</v>
      </c>
      <c r="F54" s="31">
        <v>10.0</v>
      </c>
      <c r="G54" s="31">
        <v>55.0</v>
      </c>
      <c r="H54" s="31">
        <v>10.0</v>
      </c>
      <c r="I54" s="31">
        <v>40.0</v>
      </c>
      <c r="J54" s="31">
        <v>10.0</v>
      </c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ht="32.25" customHeight="1">
      <c r="A55" s="33" t="s">
        <v>55</v>
      </c>
      <c r="B55" s="34"/>
      <c r="C55" s="34"/>
      <c r="D55" s="34"/>
      <c r="E55" s="35" t="s">
        <v>56</v>
      </c>
      <c r="F55" s="36">
        <f>IFERROR(SUMPRODUCT(E51:E54,F51:F54),"")</f>
        <v>1240</v>
      </c>
      <c r="G55" s="37">
        <f>IFERROR((H55-F55)/F55,"")</f>
        <v>0.7741935484</v>
      </c>
      <c r="H55" s="36">
        <f>IFERROR(SUMPRODUCT(G51:G54,H51:H54),"")</f>
        <v>2200</v>
      </c>
      <c r="I55" s="37">
        <f>IFERROR((J55-H55)/H55,"")</f>
        <v>-0.2727272727</v>
      </c>
      <c r="J55" s="36">
        <f>IFERROR(SUMPRODUCT(I51:I54,J51:J54),"")</f>
        <v>1600</v>
      </c>
      <c r="K55" s="37">
        <f>IFERROR((L55-J55)/J55,"")</f>
        <v>-1</v>
      </c>
      <c r="L55" s="36">
        <f>IFERROR(SUMPRODUCT(K51:K54,L51:L54),"")</f>
        <v>0</v>
      </c>
      <c r="M55" s="37" t="str">
        <f>IFERROR((N55-L55)/L55,"")</f>
        <v/>
      </c>
      <c r="N55" s="36">
        <f>IFERROR(SUMPRODUCT(M51:M54,N51:N54),"")</f>
        <v>0</v>
      </c>
      <c r="O55" s="37" t="str">
        <f>IFERROR((P55-N55)/N55,"")</f>
        <v/>
      </c>
      <c r="P55" s="36">
        <f>IFERROR(SUMPRODUCT(O51:O54,P51:P54),"")</f>
        <v>0</v>
      </c>
      <c r="Q55" s="37" t="str">
        <f>IFERROR((R55-P55)/P55,"")</f>
        <v/>
      </c>
      <c r="R55" s="36">
        <f>IFERROR(SUMPRODUCT(Q51:Q54,R51:R54),"")</f>
        <v>0</v>
      </c>
      <c r="S55" s="37" t="str">
        <f>IFERROR((T55-R55)/R55,"")</f>
        <v/>
      </c>
      <c r="T55" s="36">
        <f>IFERROR(SUMPRODUCT(S51:S54,T51:T54),"")</f>
        <v>0</v>
      </c>
      <c r="U55" s="37" t="str">
        <f>IFERROR((V55-T55)/T55,"")</f>
        <v/>
      </c>
      <c r="V55" s="36">
        <f>IFERROR(SUMPRODUCT(U51:U54,V51:V54),"")</f>
        <v>0</v>
      </c>
      <c r="W55" s="37" t="str">
        <f>IFERROR((X55-V55)/V55,"")</f>
        <v/>
      </c>
      <c r="X55" s="36">
        <f>IFERROR(SUMPRODUCT(W51:W54,X51:X54),"")</f>
        <v>0</v>
      </c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ht="24.0" customHeight="1">
      <c r="A57" s="16" t="s">
        <v>66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8"/>
    </row>
    <row r="58" ht="15.0" customHeight="1">
      <c r="A58" s="19" t="s">
        <v>27</v>
      </c>
      <c r="B58" s="19" t="s">
        <v>28</v>
      </c>
      <c r="C58" s="19" t="s">
        <v>29</v>
      </c>
      <c r="D58" s="19" t="s">
        <v>30</v>
      </c>
      <c r="E58" s="20" t="s">
        <v>31</v>
      </c>
      <c r="F58" s="18"/>
      <c r="G58" s="20" t="s">
        <v>32</v>
      </c>
      <c r="H58" s="18"/>
      <c r="I58" s="20" t="s">
        <v>33</v>
      </c>
      <c r="J58" s="18"/>
      <c r="K58" s="20" t="s">
        <v>34</v>
      </c>
      <c r="L58" s="18"/>
      <c r="M58" s="20" t="s">
        <v>35</v>
      </c>
      <c r="N58" s="18"/>
      <c r="O58" s="20" t="s">
        <v>36</v>
      </c>
      <c r="P58" s="18"/>
      <c r="Q58" s="20" t="s">
        <v>37</v>
      </c>
      <c r="R58" s="18"/>
      <c r="S58" s="20" t="s">
        <v>38</v>
      </c>
      <c r="T58" s="18"/>
      <c r="U58" s="20" t="s">
        <v>39</v>
      </c>
      <c r="V58" s="18"/>
      <c r="W58" s="20" t="s">
        <v>40</v>
      </c>
      <c r="X58" s="18"/>
    </row>
    <row r="59" ht="15.0" customHeight="1">
      <c r="A59" s="21"/>
      <c r="B59" s="21"/>
      <c r="C59" s="21"/>
      <c r="D59" s="21"/>
      <c r="E59" s="22" t="s">
        <v>41</v>
      </c>
      <c r="F59" s="22" t="s">
        <v>42</v>
      </c>
      <c r="G59" s="22" t="s">
        <v>41</v>
      </c>
      <c r="H59" s="22" t="s">
        <v>42</v>
      </c>
      <c r="I59" s="22" t="s">
        <v>41</v>
      </c>
      <c r="J59" s="22" t="s">
        <v>42</v>
      </c>
      <c r="K59" s="22" t="s">
        <v>41</v>
      </c>
      <c r="L59" s="22" t="s">
        <v>42</v>
      </c>
      <c r="M59" s="22" t="s">
        <v>41</v>
      </c>
      <c r="N59" s="22" t="s">
        <v>42</v>
      </c>
      <c r="O59" s="22" t="s">
        <v>41</v>
      </c>
      <c r="P59" s="22" t="s">
        <v>42</v>
      </c>
      <c r="Q59" s="22" t="s">
        <v>41</v>
      </c>
      <c r="R59" s="22" t="s">
        <v>42</v>
      </c>
      <c r="S59" s="22" t="s">
        <v>41</v>
      </c>
      <c r="T59" s="22" t="s">
        <v>42</v>
      </c>
      <c r="U59" s="22" t="s">
        <v>41</v>
      </c>
      <c r="V59" s="22" t="s">
        <v>42</v>
      </c>
      <c r="W59" s="22" t="s">
        <v>41</v>
      </c>
      <c r="X59" s="22" t="s">
        <v>42</v>
      </c>
    </row>
    <row r="60" ht="15.0" customHeight="1">
      <c r="A60" s="23" t="s">
        <v>43</v>
      </c>
      <c r="B60" s="23" t="s">
        <v>44</v>
      </c>
      <c r="C60" s="23" t="s">
        <v>67</v>
      </c>
      <c r="D60" s="39" t="s">
        <v>45</v>
      </c>
      <c r="E60" s="23">
        <v>12.0</v>
      </c>
      <c r="F60" s="23">
        <v>10.0</v>
      </c>
      <c r="G60" s="23">
        <v>15.0</v>
      </c>
      <c r="H60" s="23">
        <v>10.0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</row>
    <row r="61" ht="15.0" customHeight="1">
      <c r="A61" s="23" t="s">
        <v>46</v>
      </c>
      <c r="B61" s="23" t="s">
        <v>47</v>
      </c>
      <c r="C61" s="23" t="s">
        <v>60</v>
      </c>
      <c r="D61" s="39" t="s">
        <v>48</v>
      </c>
      <c r="E61" s="23">
        <v>26.0</v>
      </c>
      <c r="F61" s="23">
        <v>5.0</v>
      </c>
      <c r="G61" s="23">
        <v>25.0</v>
      </c>
      <c r="H61" s="23">
        <v>6.0</v>
      </c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</row>
    <row r="62" ht="15.0" customHeight="1">
      <c r="A62" s="27" t="s">
        <v>50</v>
      </c>
      <c r="B62" s="7" t="s">
        <v>51</v>
      </c>
      <c r="C62" s="7" t="s">
        <v>61</v>
      </c>
      <c r="D62" s="30"/>
      <c r="E62" s="32">
        <v>47.0</v>
      </c>
      <c r="F62" s="32">
        <v>6.0</v>
      </c>
      <c r="G62" s="32">
        <v>45.0</v>
      </c>
      <c r="H62" s="32">
        <v>10.0</v>
      </c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ht="15.0" customHeight="1">
      <c r="A63" s="27" t="s">
        <v>52</v>
      </c>
      <c r="B63" s="7" t="s">
        <v>54</v>
      </c>
      <c r="C63" s="7" t="s">
        <v>64</v>
      </c>
      <c r="D63" s="30"/>
      <c r="E63" s="32">
        <v>40.0</v>
      </c>
      <c r="F63" s="32">
        <v>9.0</v>
      </c>
      <c r="G63" s="32">
        <v>45.0</v>
      </c>
      <c r="H63" s="32">
        <v>10.0</v>
      </c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ht="15.0" customHeight="1">
      <c r="A64" s="27" t="s">
        <v>53</v>
      </c>
      <c r="B64" s="7" t="s">
        <v>54</v>
      </c>
      <c r="C64" s="7" t="s">
        <v>58</v>
      </c>
      <c r="D64" s="30"/>
      <c r="E64" s="32">
        <v>40.0</v>
      </c>
      <c r="F64" s="32">
        <v>8.0</v>
      </c>
      <c r="G64" s="32">
        <v>45.0</v>
      </c>
      <c r="H64" s="32">
        <v>10.0</v>
      </c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ht="15.0" customHeight="1">
      <c r="A65" s="27" t="s">
        <v>65</v>
      </c>
      <c r="B65" s="7" t="s">
        <v>54</v>
      </c>
      <c r="C65" s="7" t="s">
        <v>58</v>
      </c>
      <c r="D65" s="30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</row>
    <row r="66" ht="32.25" customHeight="1">
      <c r="A66" s="33" t="s">
        <v>55</v>
      </c>
      <c r="B66" s="34"/>
      <c r="C66" s="34"/>
      <c r="D66" s="34"/>
      <c r="E66" s="35" t="s">
        <v>56</v>
      </c>
      <c r="F66" s="36">
        <f>IFERROR(SUMPRODUCT(E62:E65,F62:F65),"")</f>
        <v>962</v>
      </c>
      <c r="G66" s="37">
        <f>IFERROR((H66-F66)/F66,"")</f>
        <v>0.4033264033</v>
      </c>
      <c r="H66" s="36">
        <f>IFERROR(SUMPRODUCT(G62:G65,H62:H65),"")</f>
        <v>1350</v>
      </c>
      <c r="I66" s="37">
        <f>IFERROR((J66-H66)/H66,"")</f>
        <v>-1</v>
      </c>
      <c r="J66" s="36">
        <f>IFERROR(SUMPRODUCT(I62:I65,J62:J65),"")</f>
        <v>0</v>
      </c>
      <c r="K66" s="37" t="str">
        <f>IFERROR((L66-J66)/J66,"")</f>
        <v/>
      </c>
      <c r="L66" s="36">
        <f>IFERROR(SUMPRODUCT(K62:K65,L62:L65),"")</f>
        <v>0</v>
      </c>
      <c r="M66" s="37" t="str">
        <f>IFERROR((N66-L66)/L66,"")</f>
        <v/>
      </c>
      <c r="N66" s="36">
        <f>IFERROR(SUMPRODUCT(M62:M65,N62:N65),"")</f>
        <v>0</v>
      </c>
      <c r="O66" s="37" t="str">
        <f>IFERROR((P66-N66)/N66,"")</f>
        <v/>
      </c>
      <c r="P66" s="36">
        <f>IFERROR(SUMPRODUCT(O62:O65,P62:P65),"")</f>
        <v>0</v>
      </c>
      <c r="Q66" s="37" t="str">
        <f>IFERROR((R66-P66)/P66,"")</f>
        <v/>
      </c>
      <c r="R66" s="36">
        <f>IFERROR(SUMPRODUCT(Q62:Q65,R62:R65),"")</f>
        <v>0</v>
      </c>
      <c r="S66" s="37" t="str">
        <f>IFERROR((T66-R66)/R66,"")</f>
        <v/>
      </c>
      <c r="T66" s="36">
        <f>IFERROR(SUMPRODUCT(S62:S65,T62:T65),"")</f>
        <v>0</v>
      </c>
      <c r="U66" s="37" t="str">
        <f>IFERROR((V66-T66)/T66,"")</f>
        <v/>
      </c>
      <c r="V66" s="36">
        <f>IFERROR(SUMPRODUCT(U62:U65,V62:V65),"")</f>
        <v>0</v>
      </c>
      <c r="W66" s="37" t="str">
        <f>IFERROR((X66-V66)/V66,"")</f>
        <v/>
      </c>
      <c r="X66" s="36">
        <f>IFERROR(SUMPRODUCT(W62:W65,X62:X65),"")</f>
        <v>0</v>
      </c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</sheetData>
  <mergeCells count="83">
    <mergeCell ref="S41:T41"/>
    <mergeCell ref="U41:V41"/>
    <mergeCell ref="A22:A23"/>
    <mergeCell ref="B22:B23"/>
    <mergeCell ref="C22:C23"/>
    <mergeCell ref="D22:D23"/>
    <mergeCell ref="W22:X22"/>
    <mergeCell ref="A32:X32"/>
    <mergeCell ref="E33:F33"/>
    <mergeCell ref="G33:H33"/>
    <mergeCell ref="I33:J33"/>
    <mergeCell ref="K33:L33"/>
    <mergeCell ref="M33:N33"/>
    <mergeCell ref="W33:X33"/>
    <mergeCell ref="A33:A34"/>
    <mergeCell ref="B33:B34"/>
    <mergeCell ref="C33:C34"/>
    <mergeCell ref="D33:D34"/>
    <mergeCell ref="A40:X40"/>
    <mergeCell ref="E41:F41"/>
    <mergeCell ref="G41:H41"/>
    <mergeCell ref="I41:J41"/>
    <mergeCell ref="K41:L41"/>
    <mergeCell ref="M41:N41"/>
    <mergeCell ref="W41:X41"/>
    <mergeCell ref="Q49:R49"/>
    <mergeCell ref="S49:T49"/>
    <mergeCell ref="U49:V49"/>
    <mergeCell ref="W49:X49"/>
    <mergeCell ref="A41:A42"/>
    <mergeCell ref="B41:B42"/>
    <mergeCell ref="C41:C42"/>
    <mergeCell ref="D41:D42"/>
    <mergeCell ref="O41:P41"/>
    <mergeCell ref="Q41:R41"/>
    <mergeCell ref="A48:X48"/>
    <mergeCell ref="E49:F49"/>
    <mergeCell ref="G49:H49"/>
    <mergeCell ref="I49:J49"/>
    <mergeCell ref="K49:L49"/>
    <mergeCell ref="Q58:R58"/>
    <mergeCell ref="S58:T58"/>
    <mergeCell ref="U58:V58"/>
    <mergeCell ref="W58:X58"/>
    <mergeCell ref="A49:A50"/>
    <mergeCell ref="B49:B50"/>
    <mergeCell ref="C49:C50"/>
    <mergeCell ref="D49:D50"/>
    <mergeCell ref="M49:N49"/>
    <mergeCell ref="O49:P49"/>
    <mergeCell ref="A57:X57"/>
    <mergeCell ref="E58:F58"/>
    <mergeCell ref="G58:H58"/>
    <mergeCell ref="I58:J58"/>
    <mergeCell ref="K58:L58"/>
    <mergeCell ref="A1:X1"/>
    <mergeCell ref="A2:X2"/>
    <mergeCell ref="A14:C14"/>
    <mergeCell ref="A15:B15"/>
    <mergeCell ref="A16:B16"/>
    <mergeCell ref="A17:B17"/>
    <mergeCell ref="A18:B18"/>
    <mergeCell ref="O22:P22"/>
    <mergeCell ref="Q22:R22"/>
    <mergeCell ref="S22:T22"/>
    <mergeCell ref="U22:V22"/>
    <mergeCell ref="A19:B19"/>
    <mergeCell ref="A21:X21"/>
    <mergeCell ref="E22:F22"/>
    <mergeCell ref="G22:H22"/>
    <mergeCell ref="I22:J22"/>
    <mergeCell ref="K22:L22"/>
    <mergeCell ref="M22:N22"/>
    <mergeCell ref="O33:P33"/>
    <mergeCell ref="Q33:R33"/>
    <mergeCell ref="S33:T33"/>
    <mergeCell ref="U33:V33"/>
    <mergeCell ref="M58:N58"/>
    <mergeCell ref="O58:P58"/>
    <mergeCell ref="A58:A59"/>
    <mergeCell ref="B58:B59"/>
    <mergeCell ref="C58:C59"/>
    <mergeCell ref="D58:D5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5C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45.43"/>
    <col customWidth="1" min="2" max="3" width="10.0"/>
    <col customWidth="1" min="4" max="4" width="14.0"/>
    <col customWidth="1" min="5" max="5" width="8.0"/>
    <col customWidth="1" min="6" max="6" width="6.0"/>
    <col customWidth="1" min="7" max="7" width="8.0"/>
    <col customWidth="1" min="8" max="8" width="6.0"/>
    <col customWidth="1" min="9" max="9" width="8.0"/>
    <col customWidth="1" min="10" max="10" width="6.0"/>
    <col customWidth="1" min="11" max="11" width="8.0"/>
    <col customWidth="1" min="12" max="12" width="6.0"/>
    <col customWidth="1" min="13" max="13" width="8.0"/>
    <col customWidth="1" min="14" max="14" width="6.0"/>
    <col customWidth="1" min="15" max="15" width="8.0"/>
    <col customWidth="1" min="16" max="16" width="6.0"/>
    <col customWidth="1" min="17" max="17" width="8.0"/>
    <col customWidth="1" min="18" max="18" width="6.0"/>
    <col customWidth="1" min="19" max="19" width="8.0"/>
    <col customWidth="1" min="20" max="20" width="6.0"/>
    <col customWidth="1" min="21" max="21" width="8.0"/>
    <col customWidth="1" min="22" max="22" width="6.0"/>
    <col customWidth="1" min="23" max="23" width="8.0"/>
    <col customWidth="1" min="24" max="24" width="6.0"/>
    <col customWidth="1" min="25" max="26" width="8.71"/>
  </cols>
  <sheetData>
    <row r="1" ht="30.0" customHeight="1">
      <c r="A1" s="1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5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</row>
    <row r="3" ht="21.75" customHeight="1">
      <c r="A3" s="5" t="s">
        <v>2</v>
      </c>
      <c r="B3" s="5" t="s">
        <v>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7" t="s">
        <v>69</v>
      </c>
      <c r="B4" s="7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7" t="s">
        <v>70</v>
      </c>
      <c r="B5" s="7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7" t="s">
        <v>71</v>
      </c>
      <c r="B6" s="7" t="s">
        <v>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7" t="s">
        <v>73</v>
      </c>
      <c r="B7" s="7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7" t="s">
        <v>74</v>
      </c>
      <c r="B8" s="7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7" t="s">
        <v>12</v>
      </c>
      <c r="B9" s="7" t="s">
        <v>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7" t="s">
        <v>75</v>
      </c>
      <c r="B10" s="7" t="s">
        <v>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5.0" customHeight="1">
      <c r="A12" s="8" t="s">
        <v>13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15.0" customHeight="1">
      <c r="A14" s="9" t="s">
        <v>14</v>
      </c>
      <c r="B14" s="10"/>
      <c r="C14" s="11"/>
      <c r="D14" s="12" t="s">
        <v>15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5.0" customHeight="1">
      <c r="A15" s="9" t="s">
        <v>16</v>
      </c>
      <c r="B15" s="11"/>
      <c r="C15" s="12" t="s">
        <v>17</v>
      </c>
      <c r="D15" s="12" t="s">
        <v>18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15.0" customHeight="1">
      <c r="A16" s="13" t="s">
        <v>19</v>
      </c>
      <c r="B16" s="11"/>
      <c r="C16" s="14">
        <v>40.0</v>
      </c>
      <c r="D16" s="1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5.0" customHeight="1">
      <c r="A17" s="13" t="s">
        <v>20</v>
      </c>
      <c r="B17" s="11"/>
      <c r="C17" s="14" t="s">
        <v>21</v>
      </c>
      <c r="D17" s="1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5.0" customHeight="1">
      <c r="A18" s="13" t="s">
        <v>22</v>
      </c>
      <c r="B18" s="11"/>
      <c r="C18" s="14" t="s">
        <v>23</v>
      </c>
      <c r="D18" s="1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5.0" customHeight="1">
      <c r="A19" s="13" t="s">
        <v>24</v>
      </c>
      <c r="B19" s="11"/>
      <c r="C19" s="14" t="s">
        <v>25</v>
      </c>
      <c r="D19" s="1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24.0" customHeight="1">
      <c r="A21" s="16" t="s">
        <v>76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8"/>
    </row>
    <row r="22" ht="15.0" customHeight="1">
      <c r="A22" s="5" t="s">
        <v>27</v>
      </c>
      <c r="B22" s="5" t="s">
        <v>28</v>
      </c>
      <c r="C22" s="5" t="s">
        <v>29</v>
      </c>
      <c r="D22" s="5" t="s">
        <v>30</v>
      </c>
      <c r="E22" s="20" t="s">
        <v>31</v>
      </c>
      <c r="F22" s="18"/>
      <c r="G22" s="20" t="s">
        <v>32</v>
      </c>
      <c r="H22" s="18"/>
      <c r="I22" s="20" t="s">
        <v>33</v>
      </c>
      <c r="J22" s="18"/>
      <c r="K22" s="20" t="s">
        <v>34</v>
      </c>
      <c r="L22" s="18"/>
      <c r="M22" s="20" t="s">
        <v>35</v>
      </c>
      <c r="N22" s="18"/>
      <c r="O22" s="20" t="s">
        <v>36</v>
      </c>
      <c r="P22" s="18"/>
      <c r="Q22" s="20" t="s">
        <v>37</v>
      </c>
      <c r="R22" s="18"/>
      <c r="S22" s="20" t="s">
        <v>38</v>
      </c>
      <c r="T22" s="18"/>
      <c r="U22" s="20" t="s">
        <v>39</v>
      </c>
      <c r="V22" s="18"/>
      <c r="W22" s="20" t="s">
        <v>40</v>
      </c>
      <c r="X22" s="18"/>
    </row>
    <row r="23" ht="15.0" customHeight="1">
      <c r="A23" s="40"/>
      <c r="B23" s="40"/>
      <c r="C23" s="40"/>
      <c r="D23" s="40"/>
      <c r="E23" s="22" t="s">
        <v>41</v>
      </c>
      <c r="F23" s="22" t="s">
        <v>42</v>
      </c>
      <c r="G23" s="22" t="s">
        <v>41</v>
      </c>
      <c r="H23" s="22" t="s">
        <v>42</v>
      </c>
      <c r="I23" s="22" t="s">
        <v>41</v>
      </c>
      <c r="J23" s="22" t="s">
        <v>42</v>
      </c>
      <c r="K23" s="22" t="s">
        <v>41</v>
      </c>
      <c r="L23" s="22" t="s">
        <v>42</v>
      </c>
      <c r="M23" s="22" t="s">
        <v>41</v>
      </c>
      <c r="N23" s="22" t="s">
        <v>42</v>
      </c>
      <c r="O23" s="22" t="s">
        <v>41</v>
      </c>
      <c r="P23" s="22" t="s">
        <v>42</v>
      </c>
      <c r="Q23" s="22" t="s">
        <v>41</v>
      </c>
      <c r="R23" s="22" t="s">
        <v>42</v>
      </c>
      <c r="S23" s="22" t="s">
        <v>41</v>
      </c>
      <c r="T23" s="22" t="s">
        <v>42</v>
      </c>
      <c r="U23" s="22" t="s">
        <v>41</v>
      </c>
      <c r="V23" s="22" t="s">
        <v>42</v>
      </c>
      <c r="W23" s="22" t="s">
        <v>41</v>
      </c>
      <c r="X23" s="22" t="s">
        <v>42</v>
      </c>
    </row>
    <row r="24" ht="15.0" customHeight="1">
      <c r="A24" s="23" t="s">
        <v>43</v>
      </c>
      <c r="B24" s="23" t="s">
        <v>44</v>
      </c>
      <c r="C24" s="23" t="s">
        <v>67</v>
      </c>
      <c r="D24" s="39" t="s">
        <v>45</v>
      </c>
      <c r="E24" s="24">
        <v>7.0</v>
      </c>
      <c r="F24" s="24">
        <v>12.0</v>
      </c>
      <c r="G24" s="24">
        <v>7.0</v>
      </c>
      <c r="H24" s="24">
        <v>12.0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ht="15.0" customHeight="1">
      <c r="A25" s="23" t="s">
        <v>46</v>
      </c>
      <c r="B25" s="23" t="s">
        <v>47</v>
      </c>
      <c r="C25" s="23" t="s">
        <v>77</v>
      </c>
      <c r="D25" s="39" t="s">
        <v>48</v>
      </c>
      <c r="E25" s="24">
        <v>12.0</v>
      </c>
      <c r="F25" s="24">
        <v>6.0</v>
      </c>
      <c r="G25" s="24">
        <v>12.0</v>
      </c>
      <c r="H25" s="24">
        <v>6.0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ht="15.0" customHeight="1">
      <c r="A26" s="23" t="s">
        <v>46</v>
      </c>
      <c r="B26" s="23" t="s">
        <v>47</v>
      </c>
      <c r="C26" s="23" t="s">
        <v>60</v>
      </c>
      <c r="D26" s="39" t="s">
        <v>49</v>
      </c>
      <c r="E26" s="24">
        <v>20.0</v>
      </c>
      <c r="F26" s="24">
        <v>4.0</v>
      </c>
      <c r="G26" s="24">
        <v>20.0</v>
      </c>
      <c r="H26" s="24">
        <v>5.0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 ht="15.0" customHeight="1">
      <c r="A27" s="27" t="s">
        <v>50</v>
      </c>
      <c r="B27" s="7" t="s">
        <v>51</v>
      </c>
      <c r="C27" s="7" t="s">
        <v>63</v>
      </c>
      <c r="D27" s="30"/>
      <c r="E27" s="31">
        <v>24.0</v>
      </c>
      <c r="F27" s="31">
        <v>8.0</v>
      </c>
      <c r="G27" s="31">
        <v>24.0</v>
      </c>
      <c r="H27" s="31">
        <v>8.0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ht="15.0" customHeight="1">
      <c r="A28" s="27" t="s">
        <v>52</v>
      </c>
      <c r="B28" s="7" t="s">
        <v>54</v>
      </c>
      <c r="C28" s="7" t="s">
        <v>58</v>
      </c>
      <c r="D28" s="30"/>
      <c r="E28" s="31">
        <v>24.0</v>
      </c>
      <c r="F28" s="31">
        <v>6.0</v>
      </c>
      <c r="G28" s="31">
        <v>24.0</v>
      </c>
      <c r="H28" s="31">
        <v>6.0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ht="32.25" customHeight="1">
      <c r="A29" s="33" t="s">
        <v>55</v>
      </c>
      <c r="B29" s="34"/>
      <c r="C29" s="34"/>
      <c r="D29" s="34"/>
      <c r="E29" s="35" t="s">
        <v>56</v>
      </c>
      <c r="F29" s="36">
        <f>IFERROR(SUMPRODUCT(E27:E28,F27:F28),"")</f>
        <v>336</v>
      </c>
      <c r="G29" s="37">
        <f>IFERROR((H29-F29)/F29,"")</f>
        <v>0</v>
      </c>
      <c r="H29" s="36">
        <f>IFERROR(SUMPRODUCT(G27:G28,H27:H28),"")</f>
        <v>336</v>
      </c>
      <c r="I29" s="37">
        <f>IFERROR((J29-H29)/H29,"")</f>
        <v>-1</v>
      </c>
      <c r="J29" s="36">
        <f>IFERROR(SUMPRODUCT(I27:I28,J27:J28),"")</f>
        <v>0</v>
      </c>
      <c r="K29" s="37" t="str">
        <f>IFERROR((L29-J29)/J29,"")</f>
        <v/>
      </c>
      <c r="L29" s="36">
        <f>IFERROR(SUMPRODUCT(K27:K28,L27:L28),"")</f>
        <v>0</v>
      </c>
      <c r="M29" s="37" t="str">
        <f>IFERROR((N29-L29)/L29,"")</f>
        <v/>
      </c>
      <c r="N29" s="36">
        <f>IFERROR(SUMPRODUCT(M27:M28,N27:N28),"")</f>
        <v>0</v>
      </c>
      <c r="O29" s="37" t="str">
        <f>IFERROR((P29-N29)/N29,"")</f>
        <v/>
      </c>
      <c r="P29" s="36">
        <f>IFERROR(SUMPRODUCT(O27:O28,P27:P28),"")</f>
        <v>0</v>
      </c>
      <c r="Q29" s="37" t="str">
        <f>IFERROR((R29-P29)/P29,"")</f>
        <v/>
      </c>
      <c r="R29" s="36">
        <f>IFERROR(SUMPRODUCT(Q27:Q28,R27:R28),"")</f>
        <v>0</v>
      </c>
      <c r="S29" s="37" t="str">
        <f>IFERROR((T29-R29)/R29,"")</f>
        <v/>
      </c>
      <c r="T29" s="36">
        <f>IFERROR(SUMPRODUCT(S27:S28,T27:T28),"")</f>
        <v>0</v>
      </c>
      <c r="U29" s="37" t="str">
        <f>IFERROR((V29-T29)/T29,"")</f>
        <v/>
      </c>
      <c r="V29" s="36">
        <f>IFERROR(SUMPRODUCT(U27:U28,V27:V28),"")</f>
        <v>0</v>
      </c>
      <c r="W29" s="37" t="str">
        <f>IFERROR((X29-V29)/V29,"")</f>
        <v/>
      </c>
      <c r="X29" s="36">
        <f>IFERROR(SUMPRODUCT(W27:W28,X27:X28),"")</f>
        <v>0</v>
      </c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24.0" customHeight="1">
      <c r="A31" s="16" t="s">
        <v>78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8"/>
    </row>
    <row r="32" ht="15.0" customHeight="1">
      <c r="A32" s="5" t="s">
        <v>27</v>
      </c>
      <c r="B32" s="5" t="s">
        <v>28</v>
      </c>
      <c r="C32" s="5" t="s">
        <v>29</v>
      </c>
      <c r="D32" s="5" t="s">
        <v>30</v>
      </c>
      <c r="E32" s="20" t="s">
        <v>31</v>
      </c>
      <c r="F32" s="18"/>
      <c r="G32" s="20" t="s">
        <v>32</v>
      </c>
      <c r="H32" s="18"/>
      <c r="I32" s="20" t="s">
        <v>33</v>
      </c>
      <c r="J32" s="18"/>
      <c r="K32" s="20" t="s">
        <v>34</v>
      </c>
      <c r="L32" s="18"/>
      <c r="M32" s="20" t="s">
        <v>35</v>
      </c>
      <c r="N32" s="18"/>
      <c r="O32" s="20" t="s">
        <v>36</v>
      </c>
      <c r="P32" s="18"/>
      <c r="Q32" s="20" t="s">
        <v>37</v>
      </c>
      <c r="R32" s="18"/>
      <c r="S32" s="20" t="s">
        <v>38</v>
      </c>
      <c r="T32" s="18"/>
      <c r="U32" s="20" t="s">
        <v>39</v>
      </c>
      <c r="V32" s="18"/>
      <c r="W32" s="20" t="s">
        <v>40</v>
      </c>
      <c r="X32" s="18"/>
    </row>
    <row r="33" ht="15.0" customHeight="1">
      <c r="A33" s="40"/>
      <c r="B33" s="40"/>
      <c r="C33" s="40"/>
      <c r="D33" s="40"/>
      <c r="E33" s="22" t="s">
        <v>41</v>
      </c>
      <c r="F33" s="22" t="s">
        <v>42</v>
      </c>
      <c r="G33" s="22" t="s">
        <v>41</v>
      </c>
      <c r="H33" s="22" t="s">
        <v>42</v>
      </c>
      <c r="I33" s="22" t="s">
        <v>41</v>
      </c>
      <c r="J33" s="22" t="s">
        <v>42</v>
      </c>
      <c r="K33" s="22" t="s">
        <v>41</v>
      </c>
      <c r="L33" s="22" t="s">
        <v>42</v>
      </c>
      <c r="M33" s="22" t="s">
        <v>41</v>
      </c>
      <c r="N33" s="22" t="s">
        <v>42</v>
      </c>
      <c r="O33" s="22" t="s">
        <v>41</v>
      </c>
      <c r="P33" s="22" t="s">
        <v>42</v>
      </c>
      <c r="Q33" s="22" t="s">
        <v>41</v>
      </c>
      <c r="R33" s="22" t="s">
        <v>42</v>
      </c>
      <c r="S33" s="22" t="s">
        <v>41</v>
      </c>
      <c r="T33" s="22" t="s">
        <v>42</v>
      </c>
      <c r="U33" s="22" t="s">
        <v>41</v>
      </c>
      <c r="V33" s="22" t="s">
        <v>42</v>
      </c>
      <c r="W33" s="22" t="s">
        <v>41</v>
      </c>
      <c r="X33" s="22" t="s">
        <v>42</v>
      </c>
    </row>
    <row r="34" ht="15.0" customHeight="1">
      <c r="A34" s="23" t="s">
        <v>43</v>
      </c>
      <c r="B34" s="23" t="s">
        <v>44</v>
      </c>
      <c r="C34" s="23" t="s">
        <v>67</v>
      </c>
      <c r="D34" s="39" t="s">
        <v>45</v>
      </c>
      <c r="E34" s="23">
        <v>26.0</v>
      </c>
      <c r="F34" s="23">
        <v>10.0</v>
      </c>
      <c r="G34" s="23">
        <v>25.0</v>
      </c>
      <c r="H34" s="23">
        <v>10.0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ht="15.0" customHeight="1">
      <c r="A35" s="23" t="s">
        <v>46</v>
      </c>
      <c r="B35" s="23" t="s">
        <v>47</v>
      </c>
      <c r="C35" s="23" t="s">
        <v>60</v>
      </c>
      <c r="D35" s="39" t="s">
        <v>49</v>
      </c>
      <c r="E35" s="23">
        <v>33.0</v>
      </c>
      <c r="F35" s="23">
        <v>4.0</v>
      </c>
      <c r="G35" s="23">
        <v>35.0</v>
      </c>
      <c r="H35" s="23">
        <v>4.0</v>
      </c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</row>
    <row r="36" ht="15.0" customHeight="1">
      <c r="A36" s="27" t="s">
        <v>50</v>
      </c>
      <c r="B36" s="7" t="s">
        <v>51</v>
      </c>
      <c r="C36" s="7" t="s">
        <v>63</v>
      </c>
      <c r="D36" s="30"/>
      <c r="E36" s="32">
        <v>37.5</v>
      </c>
      <c r="F36" s="32">
        <v>8.0</v>
      </c>
      <c r="G36" s="32">
        <v>40.0</v>
      </c>
      <c r="H36" s="32">
        <v>10.0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ht="15.0" customHeight="1">
      <c r="A37" s="27" t="s">
        <v>52</v>
      </c>
      <c r="B37" s="7" t="s">
        <v>51</v>
      </c>
      <c r="C37" s="7" t="s">
        <v>64</v>
      </c>
      <c r="D37" s="30"/>
      <c r="E37" s="32">
        <v>37.5</v>
      </c>
      <c r="F37" s="32">
        <v>8.0</v>
      </c>
      <c r="G37" s="32">
        <v>40.0</v>
      </c>
      <c r="H37" s="32">
        <v>10.0</v>
      </c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</row>
    <row r="38" ht="15.0" customHeight="1">
      <c r="A38" s="27" t="s">
        <v>53</v>
      </c>
      <c r="B38" s="7" t="s">
        <v>54</v>
      </c>
      <c r="C38" s="7" t="s">
        <v>58</v>
      </c>
      <c r="D38" s="30"/>
      <c r="E38" s="32">
        <v>37.5</v>
      </c>
      <c r="F38" s="32">
        <v>8.0</v>
      </c>
      <c r="G38" s="32">
        <v>40.0</v>
      </c>
      <c r="H38" s="32">
        <v>10.0</v>
      </c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</row>
    <row r="39" ht="32.25" customHeight="1">
      <c r="A39" s="33" t="s">
        <v>55</v>
      </c>
      <c r="B39" s="34"/>
      <c r="C39" s="34"/>
      <c r="D39" s="34"/>
      <c r="E39" s="35" t="s">
        <v>56</v>
      </c>
      <c r="F39" s="36">
        <f>IFERROR(SUMPRODUCT(E36:E38,F36:F38),"")</f>
        <v>900</v>
      </c>
      <c r="G39" s="37">
        <f>IFERROR((H39-F39)/F39,"")</f>
        <v>0.3333333333</v>
      </c>
      <c r="H39" s="36">
        <f>IFERROR(SUMPRODUCT(G36:G38,H36:H38),"")</f>
        <v>1200</v>
      </c>
      <c r="I39" s="37">
        <f>IFERROR((J39-H39)/H39,"")</f>
        <v>-1</v>
      </c>
      <c r="J39" s="36">
        <f>IFERROR(SUMPRODUCT(I36:I38,J36:J38),"")</f>
        <v>0</v>
      </c>
      <c r="K39" s="37" t="str">
        <f>IFERROR((L39-J39)/J39,"")</f>
        <v/>
      </c>
      <c r="L39" s="36">
        <f>IFERROR(SUMPRODUCT(K36:K38,L36:L38),"")</f>
        <v>0</v>
      </c>
      <c r="M39" s="37" t="str">
        <f>IFERROR((N39-L39)/L39,"")</f>
        <v/>
      </c>
      <c r="N39" s="36">
        <f>IFERROR(SUMPRODUCT(M36:M38,N36:N38),"")</f>
        <v>0</v>
      </c>
      <c r="O39" s="37" t="str">
        <f>IFERROR((P39-N39)/N39,"")</f>
        <v/>
      </c>
      <c r="P39" s="36">
        <f>IFERROR(SUMPRODUCT(O36:O38,P36:P38),"")</f>
        <v>0</v>
      </c>
      <c r="Q39" s="37" t="str">
        <f>IFERROR((R39-P39)/P39,"")</f>
        <v/>
      </c>
      <c r="R39" s="36">
        <f>IFERROR(SUMPRODUCT(Q36:Q38,R36:R38),"")</f>
        <v>0</v>
      </c>
      <c r="S39" s="37" t="str">
        <f>IFERROR((T39-R39)/R39,"")</f>
        <v/>
      </c>
      <c r="T39" s="36">
        <f>IFERROR(SUMPRODUCT(S36:S38,T36:T38),"")</f>
        <v>0</v>
      </c>
      <c r="U39" s="37" t="str">
        <f>IFERROR((V39-T39)/T39,"")</f>
        <v/>
      </c>
      <c r="V39" s="36">
        <f>IFERROR(SUMPRODUCT(U36:U38,V36:V38),"")</f>
        <v>0</v>
      </c>
      <c r="W39" s="37" t="str">
        <f>IFERROR((X39-V39)/V39,"")</f>
        <v/>
      </c>
      <c r="X39" s="36">
        <f>IFERROR(SUMPRODUCT(W36:W38,X36:X38),"")</f>
        <v>0</v>
      </c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ht="24.0" customHeight="1">
      <c r="A41" s="16" t="s">
        <v>79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8"/>
    </row>
    <row r="42" ht="15.0" customHeight="1">
      <c r="A42" s="5" t="s">
        <v>27</v>
      </c>
      <c r="B42" s="5" t="s">
        <v>28</v>
      </c>
      <c r="C42" s="5" t="s">
        <v>29</v>
      </c>
      <c r="D42" s="5" t="s">
        <v>30</v>
      </c>
      <c r="E42" s="20" t="s">
        <v>31</v>
      </c>
      <c r="F42" s="18"/>
      <c r="G42" s="20" t="s">
        <v>32</v>
      </c>
      <c r="H42" s="18"/>
      <c r="I42" s="20" t="s">
        <v>33</v>
      </c>
      <c r="J42" s="18"/>
      <c r="K42" s="20" t="s">
        <v>34</v>
      </c>
      <c r="L42" s="18"/>
      <c r="M42" s="20" t="s">
        <v>35</v>
      </c>
      <c r="N42" s="18"/>
      <c r="O42" s="20" t="s">
        <v>36</v>
      </c>
      <c r="P42" s="18"/>
      <c r="Q42" s="20" t="s">
        <v>37</v>
      </c>
      <c r="R42" s="18"/>
      <c r="S42" s="20" t="s">
        <v>38</v>
      </c>
      <c r="T42" s="18"/>
      <c r="U42" s="20" t="s">
        <v>39</v>
      </c>
      <c r="V42" s="18"/>
      <c r="W42" s="20" t="s">
        <v>40</v>
      </c>
      <c r="X42" s="18"/>
    </row>
    <row r="43" ht="15.0" customHeight="1">
      <c r="A43" s="40"/>
      <c r="B43" s="40"/>
      <c r="C43" s="40"/>
      <c r="D43" s="40"/>
      <c r="E43" s="22" t="s">
        <v>41</v>
      </c>
      <c r="F43" s="22" t="s">
        <v>42</v>
      </c>
      <c r="G43" s="22" t="s">
        <v>41</v>
      </c>
      <c r="H43" s="22" t="s">
        <v>42</v>
      </c>
      <c r="I43" s="22" t="s">
        <v>41</v>
      </c>
      <c r="J43" s="22" t="s">
        <v>42</v>
      </c>
      <c r="K43" s="22" t="s">
        <v>41</v>
      </c>
      <c r="L43" s="22" t="s">
        <v>42</v>
      </c>
      <c r="M43" s="22" t="s">
        <v>41</v>
      </c>
      <c r="N43" s="22" t="s">
        <v>42</v>
      </c>
      <c r="O43" s="22" t="s">
        <v>41</v>
      </c>
      <c r="P43" s="22" t="s">
        <v>42</v>
      </c>
      <c r="Q43" s="22" t="s">
        <v>41</v>
      </c>
      <c r="R43" s="22" t="s">
        <v>42</v>
      </c>
      <c r="S43" s="22" t="s">
        <v>41</v>
      </c>
      <c r="T43" s="22" t="s">
        <v>42</v>
      </c>
      <c r="U43" s="22" t="s">
        <v>41</v>
      </c>
      <c r="V43" s="22" t="s">
        <v>42</v>
      </c>
      <c r="W43" s="22" t="s">
        <v>41</v>
      </c>
      <c r="X43" s="22" t="s">
        <v>42</v>
      </c>
    </row>
    <row r="44" ht="15.0" customHeight="1">
      <c r="A44" s="23" t="s">
        <v>46</v>
      </c>
      <c r="B44" s="23" t="s">
        <v>47</v>
      </c>
      <c r="C44" s="23" t="s">
        <v>60</v>
      </c>
      <c r="D44" s="39"/>
      <c r="E44" s="23">
        <v>12.0</v>
      </c>
      <c r="F44" s="23">
        <v>12.0</v>
      </c>
      <c r="G44" s="23">
        <v>12.0</v>
      </c>
      <c r="H44" s="23">
        <v>12.0</v>
      </c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</row>
    <row r="45" ht="15.0" customHeight="1">
      <c r="A45" s="27" t="s">
        <v>50</v>
      </c>
      <c r="B45" s="7" t="s">
        <v>51</v>
      </c>
      <c r="C45" s="7" t="s">
        <v>63</v>
      </c>
      <c r="D45" s="30"/>
      <c r="E45" s="32">
        <v>18.0</v>
      </c>
      <c r="F45" s="32">
        <v>8.0</v>
      </c>
      <c r="G45" s="32">
        <v>18.0</v>
      </c>
      <c r="H45" s="32">
        <v>10.0</v>
      </c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</row>
    <row r="46" ht="15.0" customHeight="1">
      <c r="A46" s="27" t="s">
        <v>52</v>
      </c>
      <c r="B46" s="7" t="s">
        <v>54</v>
      </c>
      <c r="C46" s="7" t="s">
        <v>58</v>
      </c>
      <c r="D46" s="30"/>
      <c r="E46" s="32">
        <v>18.0</v>
      </c>
      <c r="F46" s="32">
        <v>8.0</v>
      </c>
      <c r="G46" s="32">
        <v>18.0</v>
      </c>
      <c r="H46" s="32">
        <v>10.0</v>
      </c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</row>
    <row r="47" ht="32.25" customHeight="1">
      <c r="A47" s="33" t="s">
        <v>55</v>
      </c>
      <c r="B47" s="34"/>
      <c r="C47" s="34"/>
      <c r="D47" s="34"/>
      <c r="E47" s="35" t="s">
        <v>56</v>
      </c>
      <c r="F47" s="36">
        <f>IFERROR(SUMPRODUCT(E45:E46,F45:F46),"")</f>
        <v>288</v>
      </c>
      <c r="G47" s="37">
        <f>IFERROR((H47-F47)/F47,"")</f>
        <v>0.25</v>
      </c>
      <c r="H47" s="36">
        <f>IFERROR(SUMPRODUCT(G45:G46,H45:H46),"")</f>
        <v>360</v>
      </c>
      <c r="I47" s="37">
        <f>IFERROR((J47-H47)/H47,"")</f>
        <v>-1</v>
      </c>
      <c r="J47" s="36">
        <f>IFERROR(SUMPRODUCT(I45:I46,J45:J46),"")</f>
        <v>0</v>
      </c>
      <c r="K47" s="37" t="str">
        <f>IFERROR((L47-J47)/J47,"")</f>
        <v/>
      </c>
      <c r="L47" s="36">
        <f>IFERROR(SUMPRODUCT(K45:K46,L45:L46),"")</f>
        <v>0</v>
      </c>
      <c r="M47" s="37" t="str">
        <f>IFERROR((N47-L47)/L47,"")</f>
        <v/>
      </c>
      <c r="N47" s="36">
        <f>IFERROR(SUMPRODUCT(M45:M46,N45:N46),"")</f>
        <v>0</v>
      </c>
      <c r="O47" s="37" t="str">
        <f>IFERROR((P47-N47)/N47,"")</f>
        <v/>
      </c>
      <c r="P47" s="36">
        <f>IFERROR(SUMPRODUCT(O45:O46,P45:P46),"")</f>
        <v>0</v>
      </c>
      <c r="Q47" s="37" t="str">
        <f>IFERROR((R47-P47)/P47,"")</f>
        <v/>
      </c>
      <c r="R47" s="36">
        <f>IFERROR(SUMPRODUCT(Q45:Q46,R45:R46),"")</f>
        <v>0</v>
      </c>
      <c r="S47" s="37" t="str">
        <f>IFERROR((T47-R47)/R47,"")</f>
        <v/>
      </c>
      <c r="T47" s="36">
        <f>IFERROR(SUMPRODUCT(S45:S46,T45:T46),"")</f>
        <v>0</v>
      </c>
      <c r="U47" s="37" t="str">
        <f>IFERROR((V47-T47)/T47,"")</f>
        <v/>
      </c>
      <c r="V47" s="36">
        <f>IFERROR(SUMPRODUCT(U45:U46,V45:V46),"")</f>
        <v>0</v>
      </c>
      <c r="W47" s="37" t="str">
        <f>IFERROR((X47-V47)/V47,"")</f>
        <v/>
      </c>
      <c r="X47" s="36">
        <f>IFERROR(SUMPRODUCT(W45:W46,X45:X46),"")</f>
        <v>0</v>
      </c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ht="24.0" customHeight="1">
      <c r="A49" s="16" t="s">
        <v>80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8"/>
    </row>
    <row r="50" ht="15.0" customHeight="1">
      <c r="A50" s="5" t="s">
        <v>27</v>
      </c>
      <c r="B50" s="5" t="s">
        <v>28</v>
      </c>
      <c r="C50" s="5" t="s">
        <v>29</v>
      </c>
      <c r="D50" s="5" t="s">
        <v>30</v>
      </c>
      <c r="E50" s="20" t="s">
        <v>31</v>
      </c>
      <c r="F50" s="18"/>
      <c r="G50" s="20" t="s">
        <v>32</v>
      </c>
      <c r="H50" s="18"/>
      <c r="I50" s="20" t="s">
        <v>33</v>
      </c>
      <c r="J50" s="18"/>
      <c r="K50" s="20" t="s">
        <v>34</v>
      </c>
      <c r="L50" s="18"/>
      <c r="M50" s="20" t="s">
        <v>35</v>
      </c>
      <c r="N50" s="18"/>
      <c r="O50" s="20" t="s">
        <v>36</v>
      </c>
      <c r="P50" s="18"/>
      <c r="Q50" s="20" t="s">
        <v>37</v>
      </c>
      <c r="R50" s="18"/>
      <c r="S50" s="20" t="s">
        <v>38</v>
      </c>
      <c r="T50" s="18"/>
      <c r="U50" s="20" t="s">
        <v>39</v>
      </c>
      <c r="V50" s="18"/>
      <c r="W50" s="20" t="s">
        <v>40</v>
      </c>
      <c r="X50" s="18"/>
    </row>
    <row r="51" ht="15.0" customHeight="1">
      <c r="A51" s="40"/>
      <c r="B51" s="40"/>
      <c r="C51" s="40"/>
      <c r="D51" s="40"/>
      <c r="E51" s="22" t="s">
        <v>41</v>
      </c>
      <c r="F51" s="22" t="s">
        <v>42</v>
      </c>
      <c r="G51" s="22" t="s">
        <v>41</v>
      </c>
      <c r="H51" s="22" t="s">
        <v>42</v>
      </c>
      <c r="I51" s="22" t="s">
        <v>41</v>
      </c>
      <c r="J51" s="22" t="s">
        <v>42</v>
      </c>
      <c r="K51" s="22" t="s">
        <v>41</v>
      </c>
      <c r="L51" s="22" t="s">
        <v>42</v>
      </c>
      <c r="M51" s="22" t="s">
        <v>41</v>
      </c>
      <c r="N51" s="22" t="s">
        <v>42</v>
      </c>
      <c r="O51" s="22" t="s">
        <v>41</v>
      </c>
      <c r="P51" s="22" t="s">
        <v>42</v>
      </c>
      <c r="Q51" s="22" t="s">
        <v>41</v>
      </c>
      <c r="R51" s="22" t="s">
        <v>42</v>
      </c>
      <c r="S51" s="22" t="s">
        <v>41</v>
      </c>
      <c r="T51" s="22" t="s">
        <v>42</v>
      </c>
      <c r="U51" s="22" t="s">
        <v>41</v>
      </c>
      <c r="V51" s="22" t="s">
        <v>42</v>
      </c>
      <c r="W51" s="22" t="s">
        <v>41</v>
      </c>
      <c r="X51" s="22" t="s">
        <v>42</v>
      </c>
    </row>
    <row r="52" ht="15.0" customHeight="1">
      <c r="A52" s="23" t="s">
        <v>43</v>
      </c>
      <c r="B52" s="23" t="s">
        <v>44</v>
      </c>
      <c r="C52" s="23" t="s">
        <v>67</v>
      </c>
      <c r="D52" s="39" t="s">
        <v>45</v>
      </c>
      <c r="E52" s="23">
        <v>12.0</v>
      </c>
      <c r="F52" s="23">
        <v>12.0</v>
      </c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</row>
    <row r="53" ht="15.0" customHeight="1">
      <c r="A53" s="23" t="s">
        <v>46</v>
      </c>
      <c r="B53" s="23" t="s">
        <v>47</v>
      </c>
      <c r="C53" s="23" t="s">
        <v>60</v>
      </c>
      <c r="D53" s="39" t="s">
        <v>49</v>
      </c>
      <c r="E53" s="23">
        <v>33.0</v>
      </c>
      <c r="F53" s="23">
        <v>6.0</v>
      </c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</row>
    <row r="54" ht="15.0" customHeight="1">
      <c r="A54" s="27" t="s">
        <v>50</v>
      </c>
      <c r="B54" s="7" t="s">
        <v>51</v>
      </c>
      <c r="C54" s="7" t="s">
        <v>63</v>
      </c>
      <c r="D54" s="30"/>
      <c r="E54" s="32">
        <v>40.0</v>
      </c>
      <c r="F54" s="32">
        <v>12.0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</row>
    <row r="55" ht="15.0" customHeight="1">
      <c r="A55" s="27" t="s">
        <v>52</v>
      </c>
      <c r="B55" s="7" t="s">
        <v>54</v>
      </c>
      <c r="C55" s="7" t="s">
        <v>63</v>
      </c>
      <c r="D55" s="30"/>
      <c r="E55" s="32">
        <v>40.0</v>
      </c>
      <c r="F55" s="32">
        <v>10.0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</row>
    <row r="56" ht="15.0" customHeight="1">
      <c r="A56" s="27" t="s">
        <v>53</v>
      </c>
      <c r="B56" s="7" t="s">
        <v>54</v>
      </c>
      <c r="C56" s="7" t="s">
        <v>58</v>
      </c>
      <c r="D56" s="30"/>
      <c r="E56" s="32">
        <v>40.0</v>
      </c>
      <c r="F56" s="32">
        <v>10.0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</row>
    <row r="57" ht="32.25" customHeight="1">
      <c r="A57" s="33" t="s">
        <v>55</v>
      </c>
      <c r="B57" s="34"/>
      <c r="C57" s="34"/>
      <c r="D57" s="34"/>
      <c r="E57" s="35" t="s">
        <v>56</v>
      </c>
      <c r="F57" s="36">
        <f>IFERROR(SUMPRODUCT(E54:E56,F54:F56),"")</f>
        <v>1280</v>
      </c>
      <c r="G57" s="37">
        <f>IFERROR((H57-F57)/F57,"")</f>
        <v>-1</v>
      </c>
      <c r="H57" s="36">
        <f>IFERROR(SUMPRODUCT(G54:G56,H54:H56),"")</f>
        <v>0</v>
      </c>
      <c r="I57" s="37" t="str">
        <f>IFERROR((J57-H57)/H57,"")</f>
        <v/>
      </c>
      <c r="J57" s="36">
        <f>IFERROR(SUMPRODUCT(I54:I56,J54:J56),"")</f>
        <v>0</v>
      </c>
      <c r="K57" s="37" t="str">
        <f>IFERROR((L57-J57)/J57,"")</f>
        <v/>
      </c>
      <c r="L57" s="36">
        <f>IFERROR(SUMPRODUCT(K54:K56,L54:L56),"")</f>
        <v>0</v>
      </c>
      <c r="M57" s="37" t="str">
        <f>IFERROR((N57-L57)/L57,"")</f>
        <v/>
      </c>
      <c r="N57" s="36">
        <f>IFERROR(SUMPRODUCT(M54:M56,N54:N56),"")</f>
        <v>0</v>
      </c>
      <c r="O57" s="37" t="str">
        <f>IFERROR((P57-N57)/N57,"")</f>
        <v/>
      </c>
      <c r="P57" s="36">
        <f>IFERROR(SUMPRODUCT(O54:O56,P54:P56),"")</f>
        <v>0</v>
      </c>
      <c r="Q57" s="37" t="str">
        <f>IFERROR((R57-P57)/P57,"")</f>
        <v/>
      </c>
      <c r="R57" s="36">
        <f>IFERROR(SUMPRODUCT(Q54:Q56,R54:R56),"")</f>
        <v>0</v>
      </c>
      <c r="S57" s="37" t="str">
        <f>IFERROR((T57-R57)/R57,"")</f>
        <v/>
      </c>
      <c r="T57" s="36">
        <f>IFERROR(SUMPRODUCT(S54:S56,T54:T56),"")</f>
        <v>0</v>
      </c>
      <c r="U57" s="37" t="str">
        <f>IFERROR((V57-T57)/T57,"")</f>
        <v/>
      </c>
      <c r="V57" s="36">
        <f>IFERROR(SUMPRODUCT(U54:U56,V54:V56),"")</f>
        <v>0</v>
      </c>
      <c r="W57" s="37" t="str">
        <f>IFERROR((X57-V57)/V57,"")</f>
        <v/>
      </c>
      <c r="X57" s="36">
        <f>IFERROR(SUMPRODUCT(W54:W56,X54:X56),"")</f>
        <v>0</v>
      </c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ht="24.0" customHeight="1">
      <c r="A59" s="16" t="s">
        <v>81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8"/>
    </row>
    <row r="60" ht="15.0" customHeight="1">
      <c r="A60" s="5" t="s">
        <v>27</v>
      </c>
      <c r="B60" s="5" t="s">
        <v>28</v>
      </c>
      <c r="C60" s="5" t="s">
        <v>29</v>
      </c>
      <c r="D60" s="5" t="s">
        <v>30</v>
      </c>
      <c r="E60" s="20" t="s">
        <v>31</v>
      </c>
      <c r="F60" s="18"/>
      <c r="G60" s="20" t="s">
        <v>32</v>
      </c>
      <c r="H60" s="18"/>
      <c r="I60" s="20" t="s">
        <v>33</v>
      </c>
      <c r="J60" s="18"/>
      <c r="K60" s="20" t="s">
        <v>34</v>
      </c>
      <c r="L60" s="18"/>
      <c r="M60" s="20" t="s">
        <v>35</v>
      </c>
      <c r="N60" s="18"/>
      <c r="O60" s="20" t="s">
        <v>36</v>
      </c>
      <c r="P60" s="18"/>
      <c r="Q60" s="20" t="s">
        <v>37</v>
      </c>
      <c r="R60" s="18"/>
      <c r="S60" s="20" t="s">
        <v>38</v>
      </c>
      <c r="T60" s="18"/>
      <c r="U60" s="20" t="s">
        <v>39</v>
      </c>
      <c r="V60" s="18"/>
      <c r="W60" s="20" t="s">
        <v>40</v>
      </c>
      <c r="X60" s="18"/>
    </row>
    <row r="61" ht="15.0" customHeight="1">
      <c r="A61" s="40"/>
      <c r="B61" s="40"/>
      <c r="C61" s="40"/>
      <c r="D61" s="40"/>
      <c r="E61" s="22" t="s">
        <v>41</v>
      </c>
      <c r="F61" s="22" t="s">
        <v>42</v>
      </c>
      <c r="G61" s="22" t="s">
        <v>41</v>
      </c>
      <c r="H61" s="22" t="s">
        <v>42</v>
      </c>
      <c r="I61" s="22" t="s">
        <v>41</v>
      </c>
      <c r="J61" s="22" t="s">
        <v>42</v>
      </c>
      <c r="K61" s="22" t="s">
        <v>41</v>
      </c>
      <c r="L61" s="22" t="s">
        <v>42</v>
      </c>
      <c r="M61" s="22" t="s">
        <v>41</v>
      </c>
      <c r="N61" s="22" t="s">
        <v>42</v>
      </c>
      <c r="O61" s="22" t="s">
        <v>41</v>
      </c>
      <c r="P61" s="22" t="s">
        <v>42</v>
      </c>
      <c r="Q61" s="22" t="s">
        <v>41</v>
      </c>
      <c r="R61" s="22" t="s">
        <v>42</v>
      </c>
      <c r="S61" s="22" t="s">
        <v>41</v>
      </c>
      <c r="T61" s="22" t="s">
        <v>42</v>
      </c>
      <c r="U61" s="22" t="s">
        <v>41</v>
      </c>
      <c r="V61" s="22" t="s">
        <v>42</v>
      </c>
      <c r="W61" s="22" t="s">
        <v>41</v>
      </c>
      <c r="X61" s="22" t="s">
        <v>42</v>
      </c>
    </row>
    <row r="62" ht="15.0" customHeight="1">
      <c r="A62" s="27" t="s">
        <v>50</v>
      </c>
      <c r="B62" s="7" t="s">
        <v>51</v>
      </c>
      <c r="C62" s="7" t="s">
        <v>63</v>
      </c>
      <c r="D62" s="30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</row>
    <row r="63" ht="15.0" customHeight="1">
      <c r="A63" s="27" t="s">
        <v>52</v>
      </c>
      <c r="B63" s="7" t="s">
        <v>54</v>
      </c>
      <c r="C63" s="7" t="s">
        <v>63</v>
      </c>
      <c r="D63" s="30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</row>
    <row r="64" ht="15.0" customHeight="1">
      <c r="A64" s="27" t="s">
        <v>53</v>
      </c>
      <c r="B64" s="7" t="s">
        <v>54</v>
      </c>
      <c r="C64" s="7" t="s">
        <v>58</v>
      </c>
      <c r="D64" s="30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</row>
    <row r="65" ht="15.0" customHeight="1">
      <c r="A65" s="33" t="s">
        <v>55</v>
      </c>
      <c r="B65" s="34"/>
      <c r="C65" s="34"/>
      <c r="D65" s="34"/>
      <c r="E65" s="35" t="s">
        <v>56</v>
      </c>
      <c r="F65" s="36">
        <f>IFERROR(SUMPRODUCT(E62:E64,F62:F64),"")</f>
        <v>0</v>
      </c>
      <c r="G65" s="37" t="str">
        <f>IFERROR((H65-F65)/F65,"")</f>
        <v/>
      </c>
      <c r="H65" s="36">
        <f>IFERROR(SUMPRODUCT(G62:G64,H62:H64),"")</f>
        <v>0</v>
      </c>
      <c r="I65" s="37" t="str">
        <f>IFERROR((J65-H65)/H65,"")</f>
        <v/>
      </c>
      <c r="J65" s="36">
        <f>IFERROR(SUMPRODUCT(I62:I64,J62:J64),"")</f>
        <v>0</v>
      </c>
      <c r="K65" s="37" t="str">
        <f>IFERROR((L65-J65)/J65,"")</f>
        <v/>
      </c>
      <c r="L65" s="36">
        <f>IFERROR(SUMPRODUCT(K62:K64,L62:L64),"")</f>
        <v>0</v>
      </c>
      <c r="M65" s="37" t="str">
        <f>IFERROR((N65-L65)/L65,"")</f>
        <v/>
      </c>
      <c r="N65" s="36">
        <f>IFERROR(SUMPRODUCT(M62:M64,N62:N64),"")</f>
        <v>0</v>
      </c>
      <c r="O65" s="37" t="str">
        <f>IFERROR((P65-N65)/N65,"")</f>
        <v/>
      </c>
      <c r="P65" s="36">
        <f>IFERROR(SUMPRODUCT(O62:O64,P62:P64),"")</f>
        <v>0</v>
      </c>
      <c r="Q65" s="37" t="str">
        <f>IFERROR((R65-P65)/P65,"")</f>
        <v/>
      </c>
      <c r="R65" s="36">
        <f>IFERROR(SUMPRODUCT(Q62:Q64,R62:R64),"")</f>
        <v>0</v>
      </c>
      <c r="S65" s="37" t="str">
        <f>IFERROR((T65-R65)/R65,"")</f>
        <v/>
      </c>
      <c r="T65" s="36">
        <f>IFERROR(SUMPRODUCT(S62:S64,T62:T64),"")</f>
        <v>0</v>
      </c>
      <c r="U65" s="37" t="str">
        <f>IFERROR((V65-T65)/T65,"")</f>
        <v/>
      </c>
      <c r="V65" s="36">
        <f>IFERROR(SUMPRODUCT(U62:U64,V62:V64),"")</f>
        <v>0</v>
      </c>
      <c r="W65" s="37" t="str">
        <f>IFERROR((X65-V65)/V65,"")</f>
        <v/>
      </c>
      <c r="X65" s="36">
        <f>IFERROR(SUMPRODUCT(W62:W64,X62:X64),"")</f>
        <v>0</v>
      </c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24.0" customHeight="1">
      <c r="A67" s="16" t="s">
        <v>82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8"/>
    </row>
    <row r="68" ht="15.0" customHeight="1">
      <c r="A68" s="5" t="s">
        <v>27</v>
      </c>
      <c r="B68" s="5" t="s">
        <v>28</v>
      </c>
      <c r="C68" s="5" t="s">
        <v>29</v>
      </c>
      <c r="D68" s="5" t="s">
        <v>30</v>
      </c>
      <c r="E68" s="20" t="s">
        <v>31</v>
      </c>
      <c r="F68" s="18"/>
      <c r="G68" s="20" t="s">
        <v>32</v>
      </c>
      <c r="H68" s="18"/>
      <c r="I68" s="20" t="s">
        <v>33</v>
      </c>
      <c r="J68" s="18"/>
      <c r="K68" s="20" t="s">
        <v>34</v>
      </c>
      <c r="L68" s="18"/>
      <c r="M68" s="20" t="s">
        <v>35</v>
      </c>
      <c r="N68" s="18"/>
      <c r="O68" s="20" t="s">
        <v>36</v>
      </c>
      <c r="P68" s="18"/>
      <c r="Q68" s="20" t="s">
        <v>37</v>
      </c>
      <c r="R68" s="18"/>
      <c r="S68" s="20" t="s">
        <v>38</v>
      </c>
      <c r="T68" s="18"/>
      <c r="U68" s="20" t="s">
        <v>39</v>
      </c>
      <c r="V68" s="18"/>
      <c r="W68" s="20" t="s">
        <v>40</v>
      </c>
      <c r="X68" s="18"/>
    </row>
    <row r="69" ht="15.0" customHeight="1">
      <c r="A69" s="40"/>
      <c r="B69" s="40"/>
      <c r="C69" s="40"/>
      <c r="D69" s="40"/>
      <c r="E69" s="22" t="s">
        <v>41</v>
      </c>
      <c r="F69" s="22" t="s">
        <v>42</v>
      </c>
      <c r="G69" s="22" t="s">
        <v>41</v>
      </c>
      <c r="H69" s="22" t="s">
        <v>42</v>
      </c>
      <c r="I69" s="22" t="s">
        <v>41</v>
      </c>
      <c r="J69" s="22" t="s">
        <v>42</v>
      </c>
      <c r="K69" s="22" t="s">
        <v>41</v>
      </c>
      <c r="L69" s="22" t="s">
        <v>42</v>
      </c>
      <c r="M69" s="22" t="s">
        <v>41</v>
      </c>
      <c r="N69" s="22" t="s">
        <v>42</v>
      </c>
      <c r="O69" s="22" t="s">
        <v>41</v>
      </c>
      <c r="P69" s="22" t="s">
        <v>42</v>
      </c>
      <c r="Q69" s="22" t="s">
        <v>41</v>
      </c>
      <c r="R69" s="22" t="s">
        <v>42</v>
      </c>
      <c r="S69" s="22" t="s">
        <v>41</v>
      </c>
      <c r="T69" s="22" t="s">
        <v>42</v>
      </c>
      <c r="U69" s="22" t="s">
        <v>41</v>
      </c>
      <c r="V69" s="22" t="s">
        <v>42</v>
      </c>
      <c r="W69" s="22" t="s">
        <v>41</v>
      </c>
      <c r="X69" s="22" t="s">
        <v>42</v>
      </c>
    </row>
    <row r="70" ht="15.0" customHeight="1">
      <c r="A70" s="23" t="s">
        <v>46</v>
      </c>
      <c r="B70" s="23" t="s">
        <v>47</v>
      </c>
      <c r="C70" s="23" t="s">
        <v>60</v>
      </c>
      <c r="D70" s="39"/>
      <c r="E70" s="23">
        <v>15.0</v>
      </c>
      <c r="F70" s="23">
        <v>6.0</v>
      </c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</row>
    <row r="71" ht="15.0" customHeight="1">
      <c r="A71" s="27" t="s">
        <v>50</v>
      </c>
      <c r="B71" s="7" t="s">
        <v>51</v>
      </c>
      <c r="C71" s="7" t="s">
        <v>63</v>
      </c>
      <c r="D71" s="30"/>
      <c r="E71" s="32">
        <v>15.0</v>
      </c>
      <c r="F71" s="32">
        <v>10.0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</row>
    <row r="72" ht="15.0" customHeight="1">
      <c r="A72" s="27" t="s">
        <v>52</v>
      </c>
      <c r="B72" s="7" t="s">
        <v>51</v>
      </c>
      <c r="C72" s="7" t="s">
        <v>64</v>
      </c>
      <c r="D72" s="30"/>
      <c r="E72" s="32">
        <v>15.0</v>
      </c>
      <c r="F72" s="32">
        <v>10.0</v>
      </c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</row>
    <row r="73" ht="15.0" customHeight="1">
      <c r="A73" s="27" t="s">
        <v>53</v>
      </c>
      <c r="B73" s="7" t="s">
        <v>54</v>
      </c>
      <c r="C73" s="7" t="s">
        <v>58</v>
      </c>
      <c r="D73" s="30"/>
      <c r="E73" s="32">
        <v>15.0</v>
      </c>
      <c r="F73" s="32">
        <v>8.0</v>
      </c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</row>
    <row r="74" ht="32.25" customHeight="1">
      <c r="A74" s="33" t="s">
        <v>55</v>
      </c>
      <c r="B74" s="34"/>
      <c r="C74" s="34"/>
      <c r="D74" s="34"/>
      <c r="E74" s="35" t="s">
        <v>56</v>
      </c>
      <c r="F74" s="36">
        <f>IFERROR(SUMPRODUCT(E71:E73,F71:F73),"")</f>
        <v>420</v>
      </c>
      <c r="G74" s="37">
        <f>IFERROR((H74-F74)/F74,"")</f>
        <v>-1</v>
      </c>
      <c r="H74" s="36">
        <f>IFERROR(SUMPRODUCT(G71:G73,H71:H73),"")</f>
        <v>0</v>
      </c>
      <c r="I74" s="37" t="str">
        <f>IFERROR((J74-H74)/H74,"")</f>
        <v/>
      </c>
      <c r="J74" s="36">
        <f>IFERROR(SUMPRODUCT(I71:I73,J71:J73),"")</f>
        <v>0</v>
      </c>
      <c r="K74" s="37" t="str">
        <f>IFERROR((L74-J74)/J74,"")</f>
        <v/>
      </c>
      <c r="L74" s="36">
        <f>IFERROR(SUMPRODUCT(K71:K73,L71:L73),"")</f>
        <v>0</v>
      </c>
      <c r="M74" s="37" t="str">
        <f>IFERROR((N74-L74)/L74,"")</f>
        <v/>
      </c>
      <c r="N74" s="36">
        <f>IFERROR(SUMPRODUCT(M71:M73,N71:N73),"")</f>
        <v>0</v>
      </c>
      <c r="O74" s="37" t="str">
        <f>IFERROR((P74-N74)/N74,"")</f>
        <v/>
      </c>
      <c r="P74" s="36">
        <f>IFERROR(SUMPRODUCT(O71:O73,P71:P73),"")</f>
        <v>0</v>
      </c>
      <c r="Q74" s="37" t="str">
        <f>IFERROR((R74-P74)/P74,"")</f>
        <v/>
      </c>
      <c r="R74" s="36">
        <f>IFERROR(SUMPRODUCT(Q71:Q73,R71:R73),"")</f>
        <v>0</v>
      </c>
      <c r="S74" s="37" t="str">
        <f>IFERROR((T74-R74)/R74,"")</f>
        <v/>
      </c>
      <c r="T74" s="36">
        <f>IFERROR(SUMPRODUCT(S71:S73,T71:T73),"")</f>
        <v>0</v>
      </c>
      <c r="U74" s="37" t="str">
        <f>IFERROR((V74-T74)/T74,"")</f>
        <v/>
      </c>
      <c r="V74" s="36">
        <f>IFERROR(SUMPRODUCT(U71:U73,V71:V73),"")</f>
        <v>0</v>
      </c>
      <c r="W74" s="37" t="str">
        <f>IFERROR((X74-V74)/V74,"")</f>
        <v/>
      </c>
      <c r="X74" s="36">
        <f>IFERROR(SUMPRODUCT(W71:W73,X71:X73),"")</f>
        <v>0</v>
      </c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24.0" customHeight="1">
      <c r="A76" s="16" t="s">
        <v>83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8"/>
    </row>
    <row r="77" ht="15.0" customHeight="1">
      <c r="A77" s="5" t="s">
        <v>27</v>
      </c>
      <c r="B77" s="5" t="s">
        <v>28</v>
      </c>
      <c r="C77" s="5" t="s">
        <v>29</v>
      </c>
      <c r="D77" s="5" t="s">
        <v>30</v>
      </c>
      <c r="E77" s="20" t="s">
        <v>31</v>
      </c>
      <c r="F77" s="18"/>
      <c r="G77" s="20" t="s">
        <v>32</v>
      </c>
      <c r="H77" s="18"/>
      <c r="I77" s="20" t="s">
        <v>33</v>
      </c>
      <c r="J77" s="18"/>
      <c r="K77" s="20" t="s">
        <v>34</v>
      </c>
      <c r="L77" s="18"/>
      <c r="M77" s="20" t="s">
        <v>35</v>
      </c>
      <c r="N77" s="18"/>
      <c r="O77" s="20" t="s">
        <v>36</v>
      </c>
      <c r="P77" s="18"/>
      <c r="Q77" s="20" t="s">
        <v>37</v>
      </c>
      <c r="R77" s="18"/>
      <c r="S77" s="20" t="s">
        <v>38</v>
      </c>
      <c r="T77" s="18"/>
      <c r="U77" s="20" t="s">
        <v>39</v>
      </c>
      <c r="V77" s="18"/>
      <c r="W77" s="20" t="s">
        <v>40</v>
      </c>
      <c r="X77" s="18"/>
    </row>
    <row r="78" ht="15.0" customHeight="1">
      <c r="A78" s="40"/>
      <c r="B78" s="40"/>
      <c r="C78" s="40"/>
      <c r="D78" s="40"/>
      <c r="E78" s="22" t="s">
        <v>41</v>
      </c>
      <c r="F78" s="22" t="s">
        <v>42</v>
      </c>
      <c r="G78" s="22" t="s">
        <v>41</v>
      </c>
      <c r="H78" s="22" t="s">
        <v>42</v>
      </c>
      <c r="I78" s="22" t="s">
        <v>41</v>
      </c>
      <c r="J78" s="22" t="s">
        <v>42</v>
      </c>
      <c r="K78" s="22" t="s">
        <v>41</v>
      </c>
      <c r="L78" s="22" t="s">
        <v>42</v>
      </c>
      <c r="M78" s="22" t="s">
        <v>41</v>
      </c>
      <c r="N78" s="22" t="s">
        <v>42</v>
      </c>
      <c r="O78" s="22" t="s">
        <v>41</v>
      </c>
      <c r="P78" s="22" t="s">
        <v>42</v>
      </c>
      <c r="Q78" s="22" t="s">
        <v>41</v>
      </c>
      <c r="R78" s="22" t="s">
        <v>42</v>
      </c>
      <c r="S78" s="22" t="s">
        <v>41</v>
      </c>
      <c r="T78" s="22" t="s">
        <v>42</v>
      </c>
      <c r="U78" s="22" t="s">
        <v>41</v>
      </c>
      <c r="V78" s="22" t="s">
        <v>42</v>
      </c>
      <c r="W78" s="22" t="s">
        <v>41</v>
      </c>
      <c r="X78" s="22" t="s">
        <v>42</v>
      </c>
    </row>
    <row r="79" ht="15.0" customHeight="1">
      <c r="A79" s="27" t="s">
        <v>50</v>
      </c>
      <c r="B79" s="7" t="s">
        <v>51</v>
      </c>
      <c r="C79" s="7" t="s">
        <v>63</v>
      </c>
      <c r="D79" s="30"/>
      <c r="E79" s="32">
        <v>10.0</v>
      </c>
      <c r="F79" s="32">
        <v>8.0</v>
      </c>
      <c r="G79" s="32">
        <v>10.0</v>
      </c>
      <c r="H79" s="32">
        <v>8.0</v>
      </c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</row>
    <row r="80" ht="15.0" customHeight="1">
      <c r="A80" s="27" t="s">
        <v>52</v>
      </c>
      <c r="B80" s="7" t="s">
        <v>54</v>
      </c>
      <c r="C80" s="7" t="s">
        <v>58</v>
      </c>
      <c r="D80" s="30"/>
      <c r="E80" s="32">
        <v>10.0</v>
      </c>
      <c r="F80" s="32">
        <v>10.0</v>
      </c>
      <c r="G80" s="32">
        <v>10.0</v>
      </c>
      <c r="H80" s="32">
        <v>10.0</v>
      </c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</row>
    <row r="81" ht="32.25" customHeight="1">
      <c r="A81" s="33" t="s">
        <v>55</v>
      </c>
      <c r="B81" s="34"/>
      <c r="C81" s="34"/>
      <c r="D81" s="34"/>
      <c r="E81" s="35" t="s">
        <v>56</v>
      </c>
      <c r="F81" s="36">
        <f>IFERROR(SUMPRODUCT(E79:E80,F79:F80),"")</f>
        <v>180</v>
      </c>
      <c r="G81" s="37">
        <f>IFERROR((H81-F81)/F81,"")</f>
        <v>0</v>
      </c>
      <c r="H81" s="36">
        <f>IFERROR(SUMPRODUCT(G79:G80,H79:H80),"")</f>
        <v>180</v>
      </c>
      <c r="I81" s="37">
        <f>IFERROR((J81-H81)/H81,"")</f>
        <v>-1</v>
      </c>
      <c r="J81" s="36">
        <f>IFERROR(SUMPRODUCT(I79:I80,J79:J80),"")</f>
        <v>0</v>
      </c>
      <c r="K81" s="37" t="str">
        <f>IFERROR((L81-J81)/J81,"")</f>
        <v/>
      </c>
      <c r="L81" s="36">
        <f>IFERROR(SUMPRODUCT(K79:K80,L79:L80),"")</f>
        <v>0</v>
      </c>
      <c r="M81" s="37" t="str">
        <f>IFERROR((N81-L81)/L81,"")</f>
        <v/>
      </c>
      <c r="N81" s="36">
        <f>IFERROR(SUMPRODUCT(M79:M80,N79:N80),"")</f>
        <v>0</v>
      </c>
      <c r="O81" s="37" t="str">
        <f>IFERROR((P81-N81)/N81,"")</f>
        <v/>
      </c>
      <c r="P81" s="36">
        <f>IFERROR(SUMPRODUCT(O79:O80,P79:P80),"")</f>
        <v>0</v>
      </c>
      <c r="Q81" s="37" t="str">
        <f>IFERROR((R81-P81)/P81,"")</f>
        <v/>
      </c>
      <c r="R81" s="36">
        <f>IFERROR(SUMPRODUCT(Q79:Q80,R79:R80),"")</f>
        <v>0</v>
      </c>
      <c r="S81" s="37" t="str">
        <f>IFERROR((T81-R81)/R81,"")</f>
        <v/>
      </c>
      <c r="T81" s="36">
        <f>IFERROR(SUMPRODUCT(S79:S80,T79:T80),"")</f>
        <v>0</v>
      </c>
      <c r="U81" s="37" t="str">
        <f>IFERROR((V81-T81)/T81,"")</f>
        <v/>
      </c>
      <c r="V81" s="36">
        <f>IFERROR(SUMPRODUCT(U79:U80,V79:V80),"")</f>
        <v>0</v>
      </c>
      <c r="W81" s="37" t="str">
        <f>IFERROR((X81-V81)/V81,"")</f>
        <v/>
      </c>
      <c r="X81" s="36">
        <f>IFERROR(SUMPRODUCT(W79:W80,X79:X80),"")</f>
        <v>0</v>
      </c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</sheetData>
  <mergeCells count="85">
    <mergeCell ref="W22:X22"/>
    <mergeCell ref="A31:X31"/>
    <mergeCell ref="E32:F32"/>
    <mergeCell ref="G32:H32"/>
    <mergeCell ref="I32:J32"/>
    <mergeCell ref="K32:L32"/>
    <mergeCell ref="M32:N32"/>
    <mergeCell ref="S42:T42"/>
    <mergeCell ref="U42:V42"/>
    <mergeCell ref="W32:X32"/>
    <mergeCell ref="A41:X41"/>
    <mergeCell ref="E42:F42"/>
    <mergeCell ref="G42:H42"/>
    <mergeCell ref="I42:J42"/>
    <mergeCell ref="K42:L42"/>
    <mergeCell ref="M42:N42"/>
    <mergeCell ref="W42:X42"/>
    <mergeCell ref="Q50:R50"/>
    <mergeCell ref="S50:T50"/>
    <mergeCell ref="U50:V50"/>
    <mergeCell ref="W50:X50"/>
    <mergeCell ref="O42:P42"/>
    <mergeCell ref="Q42:R42"/>
    <mergeCell ref="A49:X49"/>
    <mergeCell ref="E50:F50"/>
    <mergeCell ref="G50:H50"/>
    <mergeCell ref="I50:J50"/>
    <mergeCell ref="K50:L50"/>
    <mergeCell ref="Q60:R60"/>
    <mergeCell ref="S60:T60"/>
    <mergeCell ref="U60:V60"/>
    <mergeCell ref="W60:X60"/>
    <mergeCell ref="M50:N50"/>
    <mergeCell ref="O50:P50"/>
    <mergeCell ref="A59:X59"/>
    <mergeCell ref="E60:F60"/>
    <mergeCell ref="G60:H60"/>
    <mergeCell ref="I60:J60"/>
    <mergeCell ref="K60:L60"/>
    <mergeCell ref="Q68:R68"/>
    <mergeCell ref="S68:T68"/>
    <mergeCell ref="U68:V68"/>
    <mergeCell ref="W68:X68"/>
    <mergeCell ref="M60:N60"/>
    <mergeCell ref="O60:P60"/>
    <mergeCell ref="A67:X67"/>
    <mergeCell ref="E68:F68"/>
    <mergeCell ref="G68:H68"/>
    <mergeCell ref="I68:J68"/>
    <mergeCell ref="K68:L68"/>
    <mergeCell ref="Q77:R77"/>
    <mergeCell ref="S77:T77"/>
    <mergeCell ref="U77:V77"/>
    <mergeCell ref="W77:X77"/>
    <mergeCell ref="M68:N68"/>
    <mergeCell ref="O68:P68"/>
    <mergeCell ref="A76:X76"/>
    <mergeCell ref="E77:F77"/>
    <mergeCell ref="G77:H77"/>
    <mergeCell ref="I77:J77"/>
    <mergeCell ref="K77:L77"/>
    <mergeCell ref="A1:X1"/>
    <mergeCell ref="A2:X2"/>
    <mergeCell ref="A14:C14"/>
    <mergeCell ref="A15:B15"/>
    <mergeCell ref="A16:B16"/>
    <mergeCell ref="A17:B17"/>
    <mergeCell ref="A18:B18"/>
    <mergeCell ref="O22:P22"/>
    <mergeCell ref="Q22:R22"/>
    <mergeCell ref="S22:T22"/>
    <mergeCell ref="U22:V22"/>
    <mergeCell ref="A19:B19"/>
    <mergeCell ref="A21:X21"/>
    <mergeCell ref="E22:F22"/>
    <mergeCell ref="G22:H22"/>
    <mergeCell ref="I22:J22"/>
    <mergeCell ref="K22:L22"/>
    <mergeCell ref="M22:N22"/>
    <mergeCell ref="O32:P32"/>
    <mergeCell ref="Q32:R32"/>
    <mergeCell ref="S32:T32"/>
    <mergeCell ref="U32:V32"/>
    <mergeCell ref="M77:N77"/>
    <mergeCell ref="O77:P77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5C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41.14"/>
    <col customWidth="1" min="2" max="3" width="10.0"/>
    <col customWidth="1" min="4" max="4" width="14.0"/>
    <col customWidth="1" min="5" max="5" width="8.0"/>
    <col customWidth="1" min="6" max="6" width="6.0"/>
    <col customWidth="1" min="7" max="7" width="8.0"/>
    <col customWidth="1" min="8" max="8" width="6.0"/>
    <col customWidth="1" min="9" max="9" width="8.0"/>
    <col customWidth="1" min="10" max="10" width="6.0"/>
    <col customWidth="1" min="11" max="11" width="8.0"/>
    <col customWidth="1" min="12" max="12" width="6.0"/>
    <col customWidth="1" min="13" max="13" width="8.0"/>
    <col customWidth="1" min="14" max="14" width="6.0"/>
    <col customWidth="1" min="15" max="15" width="8.0"/>
    <col customWidth="1" min="16" max="16" width="6.0"/>
    <col customWidth="1" min="17" max="17" width="8.0"/>
    <col customWidth="1" min="18" max="18" width="6.0"/>
    <col customWidth="1" min="19" max="19" width="8.0"/>
    <col customWidth="1" min="20" max="20" width="6.0"/>
    <col customWidth="1" min="21" max="21" width="8.0"/>
    <col customWidth="1" min="22" max="22" width="6.0"/>
    <col customWidth="1" min="23" max="23" width="8.0"/>
    <col customWidth="1" min="24" max="24" width="6.0"/>
    <col customWidth="1" min="25" max="26" width="8.71"/>
  </cols>
  <sheetData>
    <row r="1" ht="30.0" customHeight="1">
      <c r="A1" s="1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5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</row>
    <row r="3" ht="21.75" customHeight="1">
      <c r="A3" s="5" t="s">
        <v>2</v>
      </c>
      <c r="B3" s="5" t="s">
        <v>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7" t="s">
        <v>4</v>
      </c>
      <c r="B4" s="7" t="s">
        <v>85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7" t="s">
        <v>6</v>
      </c>
      <c r="B5" s="7" t="s">
        <v>7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7" t="s">
        <v>8</v>
      </c>
      <c r="B6" s="7" t="s">
        <v>85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7" t="s">
        <v>9</v>
      </c>
      <c r="B7" s="7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7" t="s">
        <v>10</v>
      </c>
      <c r="B8" s="7" t="s">
        <v>85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7" t="s">
        <v>11</v>
      </c>
      <c r="B9" s="7" t="s">
        <v>85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7" t="s">
        <v>12</v>
      </c>
      <c r="B10" s="7" t="s">
        <v>85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5.0" customHeight="1">
      <c r="A12" s="8" t="s">
        <v>13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15.0" customHeight="1">
      <c r="A14" s="9" t="s">
        <v>14</v>
      </c>
      <c r="B14" s="10"/>
      <c r="C14" s="11"/>
      <c r="D14" s="12" t="s">
        <v>15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5.0" customHeight="1">
      <c r="A15" s="9" t="s">
        <v>16</v>
      </c>
      <c r="B15" s="11"/>
      <c r="C15" s="12" t="s">
        <v>17</v>
      </c>
      <c r="D15" s="12" t="s">
        <v>18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15.0" customHeight="1">
      <c r="A16" s="13" t="s">
        <v>19</v>
      </c>
      <c r="B16" s="11"/>
      <c r="C16" s="14">
        <v>40.0</v>
      </c>
      <c r="D16" s="1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5.0" customHeight="1">
      <c r="A17" s="13" t="s">
        <v>20</v>
      </c>
      <c r="B17" s="11"/>
      <c r="C17" s="14" t="s">
        <v>21</v>
      </c>
      <c r="D17" s="1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5.0" customHeight="1">
      <c r="A18" s="13" t="s">
        <v>22</v>
      </c>
      <c r="B18" s="11"/>
      <c r="C18" s="14" t="s">
        <v>23</v>
      </c>
      <c r="D18" s="1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5.0" customHeight="1">
      <c r="A19" s="13" t="s">
        <v>24</v>
      </c>
      <c r="B19" s="11"/>
      <c r="C19" s="14" t="s">
        <v>25</v>
      </c>
      <c r="D19" s="1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24.0" customHeight="1">
      <c r="A21" s="16" t="s">
        <v>86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8"/>
    </row>
    <row r="22" ht="15.0" customHeight="1">
      <c r="A22" s="5" t="s">
        <v>27</v>
      </c>
      <c r="B22" s="5" t="s">
        <v>28</v>
      </c>
      <c r="C22" s="5" t="s">
        <v>29</v>
      </c>
      <c r="D22" s="5" t="s">
        <v>30</v>
      </c>
      <c r="E22" s="20" t="s">
        <v>31</v>
      </c>
      <c r="F22" s="18"/>
      <c r="G22" s="20" t="s">
        <v>32</v>
      </c>
      <c r="H22" s="18"/>
      <c r="I22" s="20" t="s">
        <v>33</v>
      </c>
      <c r="J22" s="18"/>
      <c r="K22" s="20" t="s">
        <v>34</v>
      </c>
      <c r="L22" s="18"/>
      <c r="M22" s="20" t="s">
        <v>35</v>
      </c>
      <c r="N22" s="18"/>
      <c r="O22" s="20" t="s">
        <v>36</v>
      </c>
      <c r="P22" s="18"/>
      <c r="Q22" s="20" t="s">
        <v>37</v>
      </c>
      <c r="R22" s="18"/>
      <c r="S22" s="20" t="s">
        <v>38</v>
      </c>
      <c r="T22" s="18"/>
      <c r="U22" s="20" t="s">
        <v>39</v>
      </c>
      <c r="V22" s="18"/>
      <c r="W22" s="20" t="s">
        <v>40</v>
      </c>
      <c r="X22" s="18"/>
    </row>
    <row r="23" ht="15.0" customHeight="1">
      <c r="A23" s="40"/>
      <c r="B23" s="40"/>
      <c r="C23" s="40"/>
      <c r="D23" s="40"/>
      <c r="E23" s="22" t="s">
        <v>41</v>
      </c>
      <c r="F23" s="22" t="s">
        <v>42</v>
      </c>
      <c r="G23" s="22" t="s">
        <v>41</v>
      </c>
      <c r="H23" s="22" t="s">
        <v>42</v>
      </c>
      <c r="I23" s="22" t="s">
        <v>41</v>
      </c>
      <c r="J23" s="22" t="s">
        <v>42</v>
      </c>
      <c r="K23" s="22" t="s">
        <v>41</v>
      </c>
      <c r="L23" s="22" t="s">
        <v>42</v>
      </c>
      <c r="M23" s="22" t="s">
        <v>41</v>
      </c>
      <c r="N23" s="22" t="s">
        <v>42</v>
      </c>
      <c r="O23" s="22" t="s">
        <v>41</v>
      </c>
      <c r="P23" s="22" t="s">
        <v>42</v>
      </c>
      <c r="Q23" s="22" t="s">
        <v>41</v>
      </c>
      <c r="R23" s="22" t="s">
        <v>42</v>
      </c>
      <c r="S23" s="22" t="s">
        <v>41</v>
      </c>
      <c r="T23" s="22" t="s">
        <v>42</v>
      </c>
      <c r="U23" s="22" t="s">
        <v>41</v>
      </c>
      <c r="V23" s="22" t="s">
        <v>42</v>
      </c>
      <c r="W23" s="22" t="s">
        <v>41</v>
      </c>
      <c r="X23" s="22" t="s">
        <v>42</v>
      </c>
    </row>
    <row r="24" ht="15.0" customHeight="1">
      <c r="A24" s="23" t="s">
        <v>43</v>
      </c>
      <c r="B24" s="23" t="s">
        <v>44</v>
      </c>
      <c r="C24" s="23" t="s">
        <v>67</v>
      </c>
      <c r="D24" s="39" t="s">
        <v>45</v>
      </c>
      <c r="E24" s="24">
        <v>20.0</v>
      </c>
      <c r="F24" s="23">
        <v>6.0</v>
      </c>
      <c r="G24" s="24">
        <v>20.0</v>
      </c>
      <c r="H24" s="23">
        <v>6.0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ht="15.0" customHeight="1">
      <c r="A25" s="23" t="s">
        <v>46</v>
      </c>
      <c r="B25" s="23" t="s">
        <v>47</v>
      </c>
      <c r="C25" s="23" t="s">
        <v>77</v>
      </c>
      <c r="D25" s="39" t="s">
        <v>48</v>
      </c>
      <c r="E25" s="23">
        <v>40.0</v>
      </c>
      <c r="F25" s="23">
        <v>6.0</v>
      </c>
      <c r="G25" s="23">
        <v>40.0</v>
      </c>
      <c r="H25" s="23">
        <v>6.0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ht="15.0" customHeight="1">
      <c r="A26" s="23" t="s">
        <v>46</v>
      </c>
      <c r="B26" s="23" t="s">
        <v>47</v>
      </c>
      <c r="C26" s="23" t="s">
        <v>60</v>
      </c>
      <c r="D26" s="39" t="s">
        <v>49</v>
      </c>
      <c r="E26" s="23">
        <v>80.0</v>
      </c>
      <c r="F26" s="23">
        <v>6.0</v>
      </c>
      <c r="G26" s="23">
        <v>80.0</v>
      </c>
      <c r="H26" s="23">
        <v>6.0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</row>
    <row r="27" ht="15.0" customHeight="1">
      <c r="A27" s="27" t="s">
        <v>50</v>
      </c>
      <c r="B27" s="7" t="s">
        <v>51</v>
      </c>
      <c r="C27" s="7" t="s">
        <v>63</v>
      </c>
      <c r="D27" s="30"/>
      <c r="E27" s="32">
        <v>100.0</v>
      </c>
      <c r="F27" s="32">
        <v>6.0</v>
      </c>
      <c r="G27" s="32">
        <v>100.0</v>
      </c>
      <c r="H27" s="32">
        <v>6.0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ht="15.0" customHeight="1">
      <c r="A28" s="27" t="s">
        <v>52</v>
      </c>
      <c r="B28" s="7" t="s">
        <v>54</v>
      </c>
      <c r="C28" s="7" t="s">
        <v>58</v>
      </c>
      <c r="D28" s="30"/>
      <c r="E28" s="32">
        <v>100.0</v>
      </c>
      <c r="F28" s="32">
        <v>4.0</v>
      </c>
      <c r="G28" s="32">
        <v>100.0</v>
      </c>
      <c r="H28" s="32">
        <v>6.0</v>
      </c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ht="32.25" customHeight="1">
      <c r="A29" s="33" t="s">
        <v>55</v>
      </c>
      <c r="B29" s="34"/>
      <c r="C29" s="34"/>
      <c r="D29" s="34"/>
      <c r="E29" s="35" t="s">
        <v>56</v>
      </c>
      <c r="F29" s="36">
        <f>IFERROR(SUMPRODUCT(E27:E28,F27:F28),"")</f>
        <v>1000</v>
      </c>
      <c r="G29" s="37">
        <f>IFERROR((H29-F29)/F29,"")</f>
        <v>0.2</v>
      </c>
      <c r="H29" s="36">
        <f>IFERROR(SUMPRODUCT(G27:G28,H27:H28),"")</f>
        <v>1200</v>
      </c>
      <c r="I29" s="37">
        <f>IFERROR((J29-H29)/H29,"")</f>
        <v>-1</v>
      </c>
      <c r="J29" s="36">
        <f>IFERROR(SUMPRODUCT(I27:I28,J27:J28),"")</f>
        <v>0</v>
      </c>
      <c r="K29" s="37" t="str">
        <f>IFERROR((L29-J29)/J29,"")</f>
        <v/>
      </c>
      <c r="L29" s="36">
        <f>IFERROR(SUMPRODUCT(K27:K28,L27:L28),"")</f>
        <v>0</v>
      </c>
      <c r="M29" s="37" t="str">
        <f>IFERROR((N29-L29)/L29,"")</f>
        <v/>
      </c>
      <c r="N29" s="36">
        <f>IFERROR(SUMPRODUCT(M27:M28,N27:N28),"")</f>
        <v>0</v>
      </c>
      <c r="O29" s="37" t="str">
        <f>IFERROR((P29-N29)/N29,"")</f>
        <v/>
      </c>
      <c r="P29" s="36">
        <f>IFERROR(SUMPRODUCT(O27:O28,P27:P28),"")</f>
        <v>0</v>
      </c>
      <c r="Q29" s="37" t="str">
        <f>IFERROR((R29-P29)/P29,"")</f>
        <v/>
      </c>
      <c r="R29" s="36">
        <f>IFERROR(SUMPRODUCT(Q27:Q28,R27:R28),"")</f>
        <v>0</v>
      </c>
      <c r="S29" s="37" t="str">
        <f>IFERROR((T29-R29)/R29,"")</f>
        <v/>
      </c>
      <c r="T29" s="36">
        <f>IFERROR(SUMPRODUCT(S27:S28,T27:T28),"")</f>
        <v>0</v>
      </c>
      <c r="U29" s="37" t="str">
        <f>IFERROR((V29-T29)/T29,"")</f>
        <v/>
      </c>
      <c r="V29" s="36">
        <f>IFERROR(SUMPRODUCT(U27:U28,V27:V28),"")</f>
        <v>0</v>
      </c>
      <c r="W29" s="37" t="str">
        <f>IFERROR((X29-V29)/V29,"")</f>
        <v/>
      </c>
      <c r="X29" s="36">
        <f>IFERROR(SUMPRODUCT(W27:W28,X27:X28),"")</f>
        <v>0</v>
      </c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ht="24.0" customHeight="1">
      <c r="A31" s="16" t="s">
        <v>87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8"/>
    </row>
    <row r="32" ht="15.0" customHeight="1">
      <c r="A32" s="5" t="s">
        <v>27</v>
      </c>
      <c r="B32" s="5" t="s">
        <v>28</v>
      </c>
      <c r="C32" s="5" t="s">
        <v>29</v>
      </c>
      <c r="D32" s="5" t="s">
        <v>30</v>
      </c>
      <c r="E32" s="20" t="s">
        <v>31</v>
      </c>
      <c r="F32" s="18"/>
      <c r="G32" s="20" t="s">
        <v>32</v>
      </c>
      <c r="H32" s="18"/>
      <c r="I32" s="20" t="s">
        <v>33</v>
      </c>
      <c r="J32" s="18"/>
      <c r="K32" s="20" t="s">
        <v>34</v>
      </c>
      <c r="L32" s="18"/>
      <c r="M32" s="20" t="s">
        <v>35</v>
      </c>
      <c r="N32" s="18"/>
      <c r="O32" s="20" t="s">
        <v>36</v>
      </c>
      <c r="P32" s="18"/>
      <c r="Q32" s="20" t="s">
        <v>37</v>
      </c>
      <c r="R32" s="18"/>
      <c r="S32" s="20" t="s">
        <v>38</v>
      </c>
      <c r="T32" s="18"/>
      <c r="U32" s="20" t="s">
        <v>39</v>
      </c>
      <c r="V32" s="18"/>
      <c r="W32" s="20" t="s">
        <v>40</v>
      </c>
      <c r="X32" s="18"/>
    </row>
    <row r="33" ht="15.0" customHeight="1">
      <c r="A33" s="40"/>
      <c r="B33" s="40"/>
      <c r="C33" s="40"/>
      <c r="D33" s="40"/>
      <c r="E33" s="22" t="s">
        <v>41</v>
      </c>
      <c r="F33" s="22" t="s">
        <v>42</v>
      </c>
      <c r="G33" s="22" t="s">
        <v>41</v>
      </c>
      <c r="H33" s="22" t="s">
        <v>42</v>
      </c>
      <c r="I33" s="22" t="s">
        <v>41</v>
      </c>
      <c r="J33" s="22" t="s">
        <v>42</v>
      </c>
      <c r="K33" s="22" t="s">
        <v>41</v>
      </c>
      <c r="L33" s="22" t="s">
        <v>42</v>
      </c>
      <c r="M33" s="22" t="s">
        <v>41</v>
      </c>
      <c r="N33" s="22" t="s">
        <v>42</v>
      </c>
      <c r="O33" s="22" t="s">
        <v>41</v>
      </c>
      <c r="P33" s="22" t="s">
        <v>42</v>
      </c>
      <c r="Q33" s="22" t="s">
        <v>41</v>
      </c>
      <c r="R33" s="22" t="s">
        <v>42</v>
      </c>
      <c r="S33" s="22" t="s">
        <v>41</v>
      </c>
      <c r="T33" s="22" t="s">
        <v>42</v>
      </c>
      <c r="U33" s="22" t="s">
        <v>41</v>
      </c>
      <c r="V33" s="22" t="s">
        <v>42</v>
      </c>
      <c r="W33" s="22" t="s">
        <v>41</v>
      </c>
      <c r="X33" s="22" t="s">
        <v>42</v>
      </c>
    </row>
    <row r="34" ht="15.0" customHeight="1">
      <c r="A34" s="23" t="s">
        <v>46</v>
      </c>
      <c r="B34" s="23" t="s">
        <v>47</v>
      </c>
      <c r="C34" s="23" t="s">
        <v>60</v>
      </c>
      <c r="D34" s="39"/>
      <c r="E34" s="23">
        <v>10.0</v>
      </c>
      <c r="F34" s="23">
        <v>6.0</v>
      </c>
      <c r="G34" s="23">
        <v>10.0</v>
      </c>
      <c r="H34" s="23">
        <v>6.0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</row>
    <row r="35" ht="15.0" customHeight="1">
      <c r="A35" s="27" t="s">
        <v>50</v>
      </c>
      <c r="B35" s="7" t="s">
        <v>51</v>
      </c>
      <c r="C35" s="7" t="s">
        <v>63</v>
      </c>
      <c r="D35" s="30"/>
      <c r="E35" s="32">
        <v>10.0</v>
      </c>
      <c r="F35" s="32">
        <v>6.0</v>
      </c>
      <c r="G35" s="32">
        <v>10.0</v>
      </c>
      <c r="H35" s="32">
        <v>6.0</v>
      </c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</row>
    <row r="36" ht="15.0" customHeight="1">
      <c r="A36" s="27" t="s">
        <v>52</v>
      </c>
      <c r="B36" s="7" t="s">
        <v>54</v>
      </c>
      <c r="C36" s="7" t="s">
        <v>58</v>
      </c>
      <c r="D36" s="30"/>
      <c r="E36" s="32">
        <v>10.0</v>
      </c>
      <c r="F36" s="32">
        <v>4.0</v>
      </c>
      <c r="G36" s="32">
        <v>10.0</v>
      </c>
      <c r="H36" s="32">
        <v>6.0</v>
      </c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 ht="32.25" customHeight="1">
      <c r="A37" s="33" t="s">
        <v>55</v>
      </c>
      <c r="B37" s="34"/>
      <c r="C37" s="34"/>
      <c r="D37" s="34"/>
      <c r="E37" s="35" t="s">
        <v>56</v>
      </c>
      <c r="F37" s="36">
        <f>IFERROR(SUMPRODUCT(E35:E36,F35:F36),"")</f>
        <v>100</v>
      </c>
      <c r="G37" s="37">
        <f>IFERROR((H37-F37)/F37,"")</f>
        <v>0.2</v>
      </c>
      <c r="H37" s="36">
        <f>IFERROR(SUMPRODUCT(G35:G36,H35:H36),"")</f>
        <v>120</v>
      </c>
      <c r="I37" s="37">
        <f>IFERROR((J37-H37)/H37,"")</f>
        <v>-1</v>
      </c>
      <c r="J37" s="36">
        <f>IFERROR(SUMPRODUCT(I35:I36,J35:J36),"")</f>
        <v>0</v>
      </c>
      <c r="K37" s="37" t="str">
        <f>IFERROR((L37-J37)/J37,"")</f>
        <v/>
      </c>
      <c r="L37" s="36">
        <f>IFERROR(SUMPRODUCT(K35:K36,L35:L36),"")</f>
        <v>0</v>
      </c>
      <c r="M37" s="37" t="str">
        <f>IFERROR((N37-L37)/L37,"")</f>
        <v/>
      </c>
      <c r="N37" s="36">
        <f>IFERROR(SUMPRODUCT(M35:M36,N35:N36),"")</f>
        <v>0</v>
      </c>
      <c r="O37" s="37" t="str">
        <f>IFERROR((P37-N37)/N37,"")</f>
        <v/>
      </c>
      <c r="P37" s="36">
        <f>IFERROR(SUMPRODUCT(O35:O36,P35:P36),"")</f>
        <v>0</v>
      </c>
      <c r="Q37" s="37" t="str">
        <f>IFERROR((R37-P37)/P37,"")</f>
        <v/>
      </c>
      <c r="R37" s="36">
        <f>IFERROR(SUMPRODUCT(Q35:Q36,R35:R36),"")</f>
        <v>0</v>
      </c>
      <c r="S37" s="37" t="str">
        <f>IFERROR((T37-R37)/R37,"")</f>
        <v/>
      </c>
      <c r="T37" s="36">
        <f>IFERROR(SUMPRODUCT(S35:S36,T35:T36),"")</f>
        <v>0</v>
      </c>
      <c r="U37" s="37" t="str">
        <f>IFERROR((V37-T37)/T37,"")</f>
        <v/>
      </c>
      <c r="V37" s="36">
        <f>IFERROR(SUMPRODUCT(U35:U36,V35:V36),"")</f>
        <v>0</v>
      </c>
      <c r="W37" s="37" t="str">
        <f>IFERROR((X37-V37)/V37,"")</f>
        <v/>
      </c>
      <c r="X37" s="36">
        <f>IFERROR(SUMPRODUCT(W35:W36,X35:X36),"")</f>
        <v>0</v>
      </c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ht="24.0" customHeight="1">
      <c r="A39" s="16" t="s">
        <v>88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8"/>
    </row>
    <row r="40" ht="15.0" customHeight="1">
      <c r="A40" s="5" t="s">
        <v>27</v>
      </c>
      <c r="B40" s="5" t="s">
        <v>28</v>
      </c>
      <c r="C40" s="5" t="s">
        <v>29</v>
      </c>
      <c r="D40" s="5" t="s">
        <v>30</v>
      </c>
      <c r="E40" s="20" t="s">
        <v>31</v>
      </c>
      <c r="F40" s="18"/>
      <c r="G40" s="20" t="s">
        <v>32</v>
      </c>
      <c r="H40" s="18"/>
      <c r="I40" s="20" t="s">
        <v>33</v>
      </c>
      <c r="J40" s="18"/>
      <c r="K40" s="20" t="s">
        <v>34</v>
      </c>
      <c r="L40" s="18"/>
      <c r="M40" s="20" t="s">
        <v>35</v>
      </c>
      <c r="N40" s="18"/>
      <c r="O40" s="20" t="s">
        <v>36</v>
      </c>
      <c r="P40" s="18"/>
      <c r="Q40" s="20" t="s">
        <v>37</v>
      </c>
      <c r="R40" s="18"/>
      <c r="S40" s="20" t="s">
        <v>38</v>
      </c>
      <c r="T40" s="18"/>
      <c r="U40" s="20" t="s">
        <v>39</v>
      </c>
      <c r="V40" s="18"/>
      <c r="W40" s="20" t="s">
        <v>40</v>
      </c>
      <c r="X40" s="18"/>
    </row>
    <row r="41" ht="15.0" customHeight="1">
      <c r="A41" s="40"/>
      <c r="B41" s="40"/>
      <c r="C41" s="40"/>
      <c r="D41" s="40"/>
      <c r="E41" s="22" t="s">
        <v>41</v>
      </c>
      <c r="F41" s="22" t="s">
        <v>42</v>
      </c>
      <c r="G41" s="22" t="s">
        <v>41</v>
      </c>
      <c r="H41" s="22" t="s">
        <v>42</v>
      </c>
      <c r="I41" s="22" t="s">
        <v>41</v>
      </c>
      <c r="J41" s="22" t="s">
        <v>42</v>
      </c>
      <c r="K41" s="22" t="s">
        <v>41</v>
      </c>
      <c r="L41" s="22" t="s">
        <v>42</v>
      </c>
      <c r="M41" s="22" t="s">
        <v>41</v>
      </c>
      <c r="N41" s="22" t="s">
        <v>42</v>
      </c>
      <c r="O41" s="22" t="s">
        <v>41</v>
      </c>
      <c r="P41" s="22" t="s">
        <v>42</v>
      </c>
      <c r="Q41" s="22" t="s">
        <v>41</v>
      </c>
      <c r="R41" s="22" t="s">
        <v>42</v>
      </c>
      <c r="S41" s="22" t="s">
        <v>41</v>
      </c>
      <c r="T41" s="22" t="s">
        <v>42</v>
      </c>
      <c r="U41" s="22" t="s">
        <v>41</v>
      </c>
      <c r="V41" s="22" t="s">
        <v>42</v>
      </c>
      <c r="W41" s="22" t="s">
        <v>41</v>
      </c>
      <c r="X41" s="22" t="s">
        <v>42</v>
      </c>
    </row>
    <row r="42" ht="15.0" customHeight="1">
      <c r="A42" s="27" t="s">
        <v>50</v>
      </c>
      <c r="B42" s="7" t="s">
        <v>51</v>
      </c>
      <c r="C42" s="7" t="s">
        <v>63</v>
      </c>
      <c r="D42" s="30"/>
      <c r="E42" s="32">
        <v>70.0</v>
      </c>
      <c r="F42" s="32">
        <v>12.0</v>
      </c>
      <c r="G42" s="32">
        <v>50.0</v>
      </c>
      <c r="H42" s="32">
        <v>8.0</v>
      </c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</row>
    <row r="43" ht="15.0" customHeight="1">
      <c r="A43" s="27" t="s">
        <v>52</v>
      </c>
      <c r="B43" s="7" t="s">
        <v>51</v>
      </c>
      <c r="C43" s="7" t="s">
        <v>64</v>
      </c>
      <c r="D43" s="30"/>
      <c r="E43" s="32">
        <v>90.0</v>
      </c>
      <c r="F43" s="32">
        <v>12.0</v>
      </c>
      <c r="G43" s="32">
        <v>50.0</v>
      </c>
      <c r="H43" s="32">
        <v>8.0</v>
      </c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</row>
    <row r="44" ht="15.0" customHeight="1">
      <c r="A44" s="27" t="s">
        <v>53</v>
      </c>
      <c r="B44" s="7" t="s">
        <v>54</v>
      </c>
      <c r="C44" s="7" t="s">
        <v>58</v>
      </c>
      <c r="D44" s="30"/>
      <c r="E44" s="32">
        <v>90.0</v>
      </c>
      <c r="F44" s="32">
        <v>10.0</v>
      </c>
      <c r="G44" s="32">
        <v>50.0</v>
      </c>
      <c r="H44" s="32">
        <v>8.0</v>
      </c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</row>
    <row r="45" ht="32.25" customHeight="1">
      <c r="A45" s="33" t="s">
        <v>55</v>
      </c>
      <c r="B45" s="34"/>
      <c r="C45" s="34"/>
      <c r="D45" s="34"/>
      <c r="E45" s="35" t="s">
        <v>56</v>
      </c>
      <c r="F45" s="36">
        <f>IFERROR(SUMPRODUCT(E42:E44,F42:F44),"")</f>
        <v>2820</v>
      </c>
      <c r="G45" s="37">
        <f>IFERROR((H45-F45)/F45,"")</f>
        <v>-0.5744680851</v>
      </c>
      <c r="H45" s="36">
        <f>IFERROR(SUMPRODUCT(G42:G44,H42:H44),"")</f>
        <v>1200</v>
      </c>
      <c r="I45" s="37">
        <f>IFERROR((J45-H45)/H45,"")</f>
        <v>-1</v>
      </c>
      <c r="J45" s="36">
        <f>IFERROR(SUMPRODUCT(I42:I44,J42:J44),"")</f>
        <v>0</v>
      </c>
      <c r="K45" s="37" t="str">
        <f>IFERROR((L45-J45)/J45,"")</f>
        <v/>
      </c>
      <c r="L45" s="36">
        <f>IFERROR(SUMPRODUCT(K42:K44,L42:L44),"")</f>
        <v>0</v>
      </c>
      <c r="M45" s="37" t="str">
        <f>IFERROR((N45-L45)/L45,"")</f>
        <v/>
      </c>
      <c r="N45" s="36">
        <f>IFERROR(SUMPRODUCT(M42:M44,N42:N44),"")</f>
        <v>0</v>
      </c>
      <c r="O45" s="37" t="str">
        <f>IFERROR((P45-N45)/N45,"")</f>
        <v/>
      </c>
      <c r="P45" s="36">
        <f>IFERROR(SUMPRODUCT(O42:O44,P42:P44),"")</f>
        <v>0</v>
      </c>
      <c r="Q45" s="37" t="str">
        <f>IFERROR((R45-P45)/P45,"")</f>
        <v/>
      </c>
      <c r="R45" s="36">
        <f>IFERROR(SUMPRODUCT(Q42:Q44,R42:R44),"")</f>
        <v>0</v>
      </c>
      <c r="S45" s="37" t="str">
        <f>IFERROR((T45-R45)/R45,"")</f>
        <v/>
      </c>
      <c r="T45" s="36">
        <f>IFERROR(SUMPRODUCT(S42:S44,T42:T44),"")</f>
        <v>0</v>
      </c>
      <c r="U45" s="37" t="str">
        <f>IFERROR((V45-T45)/T45,"")</f>
        <v/>
      </c>
      <c r="V45" s="36">
        <f>IFERROR(SUMPRODUCT(U42:U44,V42:V44),"")</f>
        <v>0</v>
      </c>
      <c r="W45" s="37" t="str">
        <f>IFERROR((X45-V45)/V45,"")</f>
        <v/>
      </c>
      <c r="X45" s="36">
        <f>IFERROR(SUMPRODUCT(W42:W44,X42:X44),"")</f>
        <v>0</v>
      </c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ht="24.0" customHeight="1">
      <c r="A47" s="16" t="s">
        <v>89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8"/>
    </row>
    <row r="48" ht="15.0" customHeight="1">
      <c r="A48" s="5" t="s">
        <v>27</v>
      </c>
      <c r="B48" s="5" t="s">
        <v>28</v>
      </c>
      <c r="C48" s="5" t="s">
        <v>29</v>
      </c>
      <c r="D48" s="5" t="s">
        <v>30</v>
      </c>
      <c r="E48" s="20" t="s">
        <v>31</v>
      </c>
      <c r="F48" s="18"/>
      <c r="G48" s="20" t="s">
        <v>32</v>
      </c>
      <c r="H48" s="18"/>
      <c r="I48" s="20" t="s">
        <v>33</v>
      </c>
      <c r="J48" s="18"/>
      <c r="K48" s="20" t="s">
        <v>34</v>
      </c>
      <c r="L48" s="18"/>
      <c r="M48" s="20" t="s">
        <v>35</v>
      </c>
      <c r="N48" s="18"/>
      <c r="O48" s="20" t="s">
        <v>36</v>
      </c>
      <c r="P48" s="18"/>
      <c r="Q48" s="20" t="s">
        <v>37</v>
      </c>
      <c r="R48" s="18"/>
      <c r="S48" s="20" t="s">
        <v>38</v>
      </c>
      <c r="T48" s="18"/>
      <c r="U48" s="20" t="s">
        <v>39</v>
      </c>
      <c r="V48" s="18"/>
      <c r="W48" s="20" t="s">
        <v>40</v>
      </c>
      <c r="X48" s="18"/>
    </row>
    <row r="49" ht="15.0" customHeight="1">
      <c r="A49" s="40"/>
      <c r="B49" s="40"/>
      <c r="C49" s="40"/>
      <c r="D49" s="40"/>
      <c r="E49" s="22" t="s">
        <v>41</v>
      </c>
      <c r="F49" s="22" t="s">
        <v>42</v>
      </c>
      <c r="G49" s="22" t="s">
        <v>41</v>
      </c>
      <c r="H49" s="22" t="s">
        <v>42</v>
      </c>
      <c r="I49" s="22" t="s">
        <v>41</v>
      </c>
      <c r="J49" s="22" t="s">
        <v>42</v>
      </c>
      <c r="K49" s="22" t="s">
        <v>41</v>
      </c>
      <c r="L49" s="22" t="s">
        <v>42</v>
      </c>
      <c r="M49" s="22" t="s">
        <v>41</v>
      </c>
      <c r="N49" s="22" t="s">
        <v>42</v>
      </c>
      <c r="O49" s="22" t="s">
        <v>41</v>
      </c>
      <c r="P49" s="22" t="s">
        <v>42</v>
      </c>
      <c r="Q49" s="22" t="s">
        <v>41</v>
      </c>
      <c r="R49" s="22" t="s">
        <v>42</v>
      </c>
      <c r="S49" s="22" t="s">
        <v>41</v>
      </c>
      <c r="T49" s="22" t="s">
        <v>42</v>
      </c>
      <c r="U49" s="22" t="s">
        <v>41</v>
      </c>
      <c r="V49" s="22" t="s">
        <v>42</v>
      </c>
      <c r="W49" s="22" t="s">
        <v>41</v>
      </c>
      <c r="X49" s="22" t="s">
        <v>42</v>
      </c>
    </row>
    <row r="50" ht="15.0" customHeight="1">
      <c r="A50" s="23" t="s">
        <v>43</v>
      </c>
      <c r="B50" s="23" t="s">
        <v>44</v>
      </c>
      <c r="C50" s="23" t="s">
        <v>67</v>
      </c>
      <c r="D50" s="39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</row>
    <row r="51" ht="15.0" customHeight="1">
      <c r="A51" s="27" t="s">
        <v>50</v>
      </c>
      <c r="B51" s="7" t="s">
        <v>51</v>
      </c>
      <c r="C51" s="7" t="s">
        <v>63</v>
      </c>
      <c r="D51" s="30"/>
      <c r="E51" s="32">
        <v>18.0</v>
      </c>
      <c r="F51" s="32">
        <v>10.0</v>
      </c>
      <c r="G51" s="32">
        <v>25.0</v>
      </c>
      <c r="H51" s="32">
        <v>8.0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ht="15.0" customHeight="1">
      <c r="A52" s="27" t="s">
        <v>52</v>
      </c>
      <c r="B52" s="7" t="s">
        <v>51</v>
      </c>
      <c r="C52" s="7" t="s">
        <v>64</v>
      </c>
      <c r="D52" s="30"/>
      <c r="E52" s="32">
        <v>23.0</v>
      </c>
      <c r="F52" s="32">
        <v>10.0</v>
      </c>
      <c r="G52" s="32">
        <v>25.0</v>
      </c>
      <c r="H52" s="32">
        <v>10.0</v>
      </c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</row>
    <row r="53" ht="15.0" customHeight="1">
      <c r="A53" s="27" t="s">
        <v>53</v>
      </c>
      <c r="B53" s="7" t="s">
        <v>54</v>
      </c>
      <c r="C53" s="7" t="s">
        <v>58</v>
      </c>
      <c r="D53" s="30"/>
      <c r="E53" s="32">
        <v>23.0</v>
      </c>
      <c r="F53" s="32">
        <v>10.0</v>
      </c>
      <c r="G53" s="32">
        <v>28.0</v>
      </c>
      <c r="H53" s="32">
        <v>10.0</v>
      </c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</row>
    <row r="54" ht="32.25" customHeight="1">
      <c r="A54" s="33" t="s">
        <v>55</v>
      </c>
      <c r="B54" s="34"/>
      <c r="C54" s="34"/>
      <c r="D54" s="34"/>
      <c r="E54" s="35" t="s">
        <v>56</v>
      </c>
      <c r="F54" s="36">
        <f>IFERROR(SUMPRODUCT(E51:E53,F51:F53),"")</f>
        <v>640</v>
      </c>
      <c r="G54" s="37">
        <f>IFERROR((H54-F54)/F54,"")</f>
        <v>0.140625</v>
      </c>
      <c r="H54" s="36">
        <f>IFERROR(SUMPRODUCT(G51:G53,H51:H53),"")</f>
        <v>730</v>
      </c>
      <c r="I54" s="37">
        <f>IFERROR((J54-H54)/H54,"")</f>
        <v>-1</v>
      </c>
      <c r="J54" s="36">
        <f>IFERROR(SUMPRODUCT(I51:I53,J51:J53),"")</f>
        <v>0</v>
      </c>
      <c r="K54" s="37" t="str">
        <f>IFERROR((L54-J54)/J54,"")</f>
        <v/>
      </c>
      <c r="L54" s="36">
        <f>IFERROR(SUMPRODUCT(K51:K53,L51:L53),"")</f>
        <v>0</v>
      </c>
      <c r="M54" s="37" t="str">
        <f>IFERROR((N54-L54)/L54,"")</f>
        <v/>
      </c>
      <c r="N54" s="36">
        <f>IFERROR(SUMPRODUCT(M51:M53,N51:N53),"")</f>
        <v>0</v>
      </c>
      <c r="O54" s="37" t="str">
        <f>IFERROR((P54-N54)/N54,"")</f>
        <v/>
      </c>
      <c r="P54" s="36">
        <f>IFERROR(SUMPRODUCT(O51:O53,P51:P53),"")</f>
        <v>0</v>
      </c>
      <c r="Q54" s="37" t="str">
        <f>IFERROR((R54-P54)/P54,"")</f>
        <v/>
      </c>
      <c r="R54" s="36">
        <f>IFERROR(SUMPRODUCT(Q51:Q53,R51:R53),"")</f>
        <v>0</v>
      </c>
      <c r="S54" s="37" t="str">
        <f>IFERROR((T54-R54)/R54,"")</f>
        <v/>
      </c>
      <c r="T54" s="36">
        <f>IFERROR(SUMPRODUCT(S51:S53,T51:T53),"")</f>
        <v>0</v>
      </c>
      <c r="U54" s="37" t="str">
        <f>IFERROR((V54-T54)/T54,"")</f>
        <v/>
      </c>
      <c r="V54" s="36">
        <f>IFERROR(SUMPRODUCT(U51:U53,V51:V53),"")</f>
        <v>0</v>
      </c>
      <c r="W54" s="37" t="str">
        <f>IFERROR((X54-V54)/V54,"")</f>
        <v/>
      </c>
      <c r="X54" s="36">
        <f>IFERROR(SUMPRODUCT(W51:W53,X51:X53),"")</f>
        <v>0</v>
      </c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ht="24.0" customHeight="1">
      <c r="A56" s="16" t="s">
        <v>90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8"/>
    </row>
    <row r="57" ht="15.0" customHeight="1">
      <c r="A57" s="5" t="s">
        <v>27</v>
      </c>
      <c r="B57" s="5" t="s">
        <v>28</v>
      </c>
      <c r="C57" s="5" t="s">
        <v>29</v>
      </c>
      <c r="D57" s="5" t="s">
        <v>30</v>
      </c>
      <c r="E57" s="20" t="s">
        <v>31</v>
      </c>
      <c r="F57" s="18"/>
      <c r="G57" s="20" t="s">
        <v>32</v>
      </c>
      <c r="H57" s="18"/>
      <c r="I57" s="20" t="s">
        <v>33</v>
      </c>
      <c r="J57" s="18"/>
      <c r="K57" s="20" t="s">
        <v>34</v>
      </c>
      <c r="L57" s="18"/>
      <c r="M57" s="20" t="s">
        <v>35</v>
      </c>
      <c r="N57" s="18"/>
      <c r="O57" s="20" t="s">
        <v>36</v>
      </c>
      <c r="P57" s="18"/>
      <c r="Q57" s="20" t="s">
        <v>37</v>
      </c>
      <c r="R57" s="18"/>
      <c r="S57" s="20" t="s">
        <v>38</v>
      </c>
      <c r="T57" s="18"/>
      <c r="U57" s="20" t="s">
        <v>39</v>
      </c>
      <c r="V57" s="18"/>
      <c r="W57" s="20" t="s">
        <v>40</v>
      </c>
      <c r="X57" s="18"/>
    </row>
    <row r="58" ht="15.0" customHeight="1">
      <c r="A58" s="40"/>
      <c r="B58" s="40"/>
      <c r="C58" s="40"/>
      <c r="D58" s="40"/>
      <c r="E58" s="22" t="s">
        <v>41</v>
      </c>
      <c r="F58" s="22" t="s">
        <v>42</v>
      </c>
      <c r="G58" s="22" t="s">
        <v>41</v>
      </c>
      <c r="H58" s="22" t="s">
        <v>42</v>
      </c>
      <c r="I58" s="22" t="s">
        <v>41</v>
      </c>
      <c r="J58" s="22" t="s">
        <v>42</v>
      </c>
      <c r="K58" s="22" t="s">
        <v>41</v>
      </c>
      <c r="L58" s="22" t="s">
        <v>42</v>
      </c>
      <c r="M58" s="22" t="s">
        <v>41</v>
      </c>
      <c r="N58" s="22" t="s">
        <v>42</v>
      </c>
      <c r="O58" s="22" t="s">
        <v>41</v>
      </c>
      <c r="P58" s="22" t="s">
        <v>42</v>
      </c>
      <c r="Q58" s="22" t="s">
        <v>41</v>
      </c>
      <c r="R58" s="22" t="s">
        <v>42</v>
      </c>
      <c r="S58" s="22" t="s">
        <v>41</v>
      </c>
      <c r="T58" s="22" t="s">
        <v>42</v>
      </c>
      <c r="U58" s="22" t="s">
        <v>41</v>
      </c>
      <c r="V58" s="22" t="s">
        <v>42</v>
      </c>
      <c r="W58" s="22" t="s">
        <v>41</v>
      </c>
      <c r="X58" s="22" t="s">
        <v>42</v>
      </c>
    </row>
    <row r="59" ht="15.0" customHeight="1">
      <c r="A59" s="27" t="s">
        <v>50</v>
      </c>
      <c r="B59" s="7" t="s">
        <v>51</v>
      </c>
      <c r="C59" s="7" t="s">
        <v>63</v>
      </c>
      <c r="D59" s="30"/>
      <c r="E59" s="32">
        <v>8.0</v>
      </c>
      <c r="F59" s="32">
        <v>10.0</v>
      </c>
      <c r="G59" s="32">
        <v>8.0</v>
      </c>
      <c r="H59" s="32">
        <v>10.0</v>
      </c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ht="15.0" customHeight="1">
      <c r="A60" s="27" t="s">
        <v>52</v>
      </c>
      <c r="B60" s="7" t="s">
        <v>51</v>
      </c>
      <c r="C60" s="7" t="s">
        <v>64</v>
      </c>
      <c r="D60" s="30"/>
      <c r="E60" s="32">
        <v>8.0</v>
      </c>
      <c r="F60" s="32">
        <v>12.0</v>
      </c>
      <c r="G60" s="32">
        <v>8.0</v>
      </c>
      <c r="H60" s="32">
        <v>12.0</v>
      </c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ht="15.0" customHeight="1">
      <c r="A61" s="27" t="s">
        <v>53</v>
      </c>
      <c r="B61" s="7" t="s">
        <v>54</v>
      </c>
      <c r="C61" s="7" t="s">
        <v>58</v>
      </c>
      <c r="D61" s="30"/>
      <c r="E61" s="32">
        <v>8.0</v>
      </c>
      <c r="F61" s="32">
        <v>10.0</v>
      </c>
      <c r="G61" s="32">
        <v>8.0</v>
      </c>
      <c r="H61" s="32">
        <v>10.0</v>
      </c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</row>
    <row r="62" ht="32.25" customHeight="1">
      <c r="A62" s="33" t="s">
        <v>55</v>
      </c>
      <c r="B62" s="34"/>
      <c r="C62" s="34"/>
      <c r="D62" s="34"/>
      <c r="E62" s="35" t="s">
        <v>56</v>
      </c>
      <c r="F62" s="36">
        <f>IFERROR(SUMPRODUCT(E59:E61,F59:F61),"")</f>
        <v>256</v>
      </c>
      <c r="G62" s="37">
        <f>IFERROR((H62-F62)/F62,"")</f>
        <v>0</v>
      </c>
      <c r="H62" s="36">
        <f>IFERROR(SUMPRODUCT(G59:G61,H59:H61),"")</f>
        <v>256</v>
      </c>
      <c r="I62" s="37">
        <f>IFERROR((J62-H62)/H62,"")</f>
        <v>-1</v>
      </c>
      <c r="J62" s="36">
        <f>IFERROR(SUMPRODUCT(I59:I61,J59:J61),"")</f>
        <v>0</v>
      </c>
      <c r="K62" s="37" t="str">
        <f>IFERROR((L62-J62)/J62,"")</f>
        <v/>
      </c>
      <c r="L62" s="36">
        <f>IFERROR(SUMPRODUCT(K59:K61,L59:L61),"")</f>
        <v>0</v>
      </c>
      <c r="M62" s="37" t="str">
        <f>IFERROR((N62-L62)/L62,"")</f>
        <v/>
      </c>
      <c r="N62" s="36">
        <f>IFERROR(SUMPRODUCT(M59:M61,N59:N61),"")</f>
        <v>0</v>
      </c>
      <c r="O62" s="37" t="str">
        <f>IFERROR((P62-N62)/N62,"")</f>
        <v/>
      </c>
      <c r="P62" s="36">
        <f>IFERROR(SUMPRODUCT(O59:O61,P59:P61),"")</f>
        <v>0</v>
      </c>
      <c r="Q62" s="37" t="str">
        <f>IFERROR((R62-P62)/P62,"")</f>
        <v/>
      </c>
      <c r="R62" s="36">
        <f>IFERROR(SUMPRODUCT(Q59:Q61,R59:R61),"")</f>
        <v>0</v>
      </c>
      <c r="S62" s="37" t="str">
        <f>IFERROR((T62-R62)/R62,"")</f>
        <v/>
      </c>
      <c r="T62" s="36">
        <f>IFERROR(SUMPRODUCT(S59:S61,T59:T61),"")</f>
        <v>0</v>
      </c>
      <c r="U62" s="37" t="str">
        <f>IFERROR((V62-T62)/T62,"")</f>
        <v/>
      </c>
      <c r="V62" s="36">
        <f>IFERROR(SUMPRODUCT(U59:U61,V59:V61),"")</f>
        <v>0</v>
      </c>
      <c r="W62" s="37" t="str">
        <f>IFERROR((X62-V62)/V62,"")</f>
        <v/>
      </c>
      <c r="X62" s="36">
        <f>IFERROR(SUMPRODUCT(W59:W61,X59:X61),"")</f>
        <v>0</v>
      </c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</sheetData>
  <mergeCells count="63">
    <mergeCell ref="W22:X22"/>
    <mergeCell ref="A31:X31"/>
    <mergeCell ref="E32:F32"/>
    <mergeCell ref="G32:H32"/>
    <mergeCell ref="I32:J32"/>
    <mergeCell ref="K32:L32"/>
    <mergeCell ref="M32:N32"/>
    <mergeCell ref="S40:T40"/>
    <mergeCell ref="U40:V40"/>
    <mergeCell ref="W32:X32"/>
    <mergeCell ref="A39:X39"/>
    <mergeCell ref="E40:F40"/>
    <mergeCell ref="G40:H40"/>
    <mergeCell ref="I40:J40"/>
    <mergeCell ref="K40:L40"/>
    <mergeCell ref="M40:N40"/>
    <mergeCell ref="W40:X40"/>
    <mergeCell ref="Q48:R48"/>
    <mergeCell ref="S48:T48"/>
    <mergeCell ref="U48:V48"/>
    <mergeCell ref="W48:X48"/>
    <mergeCell ref="O40:P40"/>
    <mergeCell ref="Q40:R40"/>
    <mergeCell ref="A47:X47"/>
    <mergeCell ref="E48:F48"/>
    <mergeCell ref="G48:H48"/>
    <mergeCell ref="I48:J48"/>
    <mergeCell ref="K48:L48"/>
    <mergeCell ref="Q57:R57"/>
    <mergeCell ref="S57:T57"/>
    <mergeCell ref="U57:V57"/>
    <mergeCell ref="W57:X57"/>
    <mergeCell ref="M48:N48"/>
    <mergeCell ref="O48:P48"/>
    <mergeCell ref="A56:X56"/>
    <mergeCell ref="E57:F57"/>
    <mergeCell ref="G57:H57"/>
    <mergeCell ref="I57:J57"/>
    <mergeCell ref="K57:L57"/>
    <mergeCell ref="A1:X1"/>
    <mergeCell ref="A2:X2"/>
    <mergeCell ref="A14:C14"/>
    <mergeCell ref="A15:B15"/>
    <mergeCell ref="A16:B16"/>
    <mergeCell ref="A17:B17"/>
    <mergeCell ref="A18:B18"/>
    <mergeCell ref="O22:P22"/>
    <mergeCell ref="Q22:R22"/>
    <mergeCell ref="S22:T22"/>
    <mergeCell ref="U22:V22"/>
    <mergeCell ref="A19:B19"/>
    <mergeCell ref="A21:X21"/>
    <mergeCell ref="E22:F22"/>
    <mergeCell ref="G22:H22"/>
    <mergeCell ref="I22:J22"/>
    <mergeCell ref="K22:L22"/>
    <mergeCell ref="M22:N22"/>
    <mergeCell ref="O32:P32"/>
    <mergeCell ref="Q32:R32"/>
    <mergeCell ref="S32:T32"/>
    <mergeCell ref="U32:V32"/>
    <mergeCell ref="M57:N57"/>
    <mergeCell ref="O57:P5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3A5C"/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39.86"/>
    <col customWidth="1" min="2" max="3" width="10.0"/>
    <col customWidth="1" min="4" max="4" width="14.0"/>
    <col customWidth="1" min="5" max="5" width="8.0"/>
    <col customWidth="1" min="6" max="6" width="6.0"/>
    <col customWidth="1" min="7" max="7" width="8.0"/>
    <col customWidth="1" min="8" max="8" width="6.0"/>
    <col customWidth="1" min="9" max="9" width="8.0"/>
    <col customWidth="1" min="10" max="10" width="6.0"/>
    <col customWidth="1" min="11" max="11" width="8.0"/>
    <col customWidth="1" min="12" max="12" width="6.0"/>
    <col customWidth="1" min="13" max="13" width="8.0"/>
    <col customWidth="1" min="14" max="14" width="6.0"/>
    <col customWidth="1" min="15" max="15" width="8.0"/>
    <col customWidth="1" min="16" max="16" width="6.0"/>
    <col customWidth="1" min="17" max="17" width="8.0"/>
    <col customWidth="1" min="18" max="18" width="6.0"/>
    <col customWidth="1" min="19" max="19" width="8.0"/>
    <col customWidth="1" min="20" max="20" width="6.0"/>
    <col customWidth="1" min="21" max="21" width="8.0"/>
    <col customWidth="1" min="22" max="22" width="6.0"/>
    <col customWidth="1" min="23" max="23" width="8.0"/>
    <col customWidth="1" min="24" max="24" width="6.0"/>
    <col customWidth="1" min="25" max="26" width="8.71"/>
  </cols>
  <sheetData>
    <row r="1" ht="30.0" customHeight="1">
      <c r="A1" s="1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15.0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</row>
    <row r="3" ht="21.75" customHeight="1">
      <c r="A3" s="5" t="s">
        <v>2</v>
      </c>
      <c r="B3" s="5" t="s">
        <v>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7" t="s">
        <v>69</v>
      </c>
      <c r="B4" s="7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7" t="s">
        <v>70</v>
      </c>
      <c r="B5" s="7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7" t="s">
        <v>71</v>
      </c>
      <c r="B6" s="7" t="s">
        <v>72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7" t="s">
        <v>73</v>
      </c>
      <c r="B7" s="7" t="s">
        <v>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7" t="s">
        <v>74</v>
      </c>
      <c r="B8" s="7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7" t="s">
        <v>12</v>
      </c>
      <c r="B9" s="7" t="s">
        <v>5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7" t="s">
        <v>75</v>
      </c>
      <c r="B10" s="7" t="s">
        <v>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ht="15.0" customHeight="1">
      <c r="A12" s="8" t="s">
        <v>13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ht="15.0" customHeight="1">
      <c r="A14" s="9" t="s">
        <v>14</v>
      </c>
      <c r="B14" s="10"/>
      <c r="C14" s="11"/>
      <c r="D14" s="12" t="s">
        <v>15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ht="15.0" customHeight="1">
      <c r="A15" s="9" t="s">
        <v>16</v>
      </c>
      <c r="B15" s="11"/>
      <c r="C15" s="12" t="s">
        <v>17</v>
      </c>
      <c r="D15" s="12" t="s">
        <v>18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ht="15.0" customHeight="1">
      <c r="A16" s="13" t="s">
        <v>19</v>
      </c>
      <c r="B16" s="11"/>
      <c r="C16" s="14">
        <v>40.0</v>
      </c>
      <c r="D16" s="15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ht="15.0" customHeight="1">
      <c r="A17" s="13" t="s">
        <v>20</v>
      </c>
      <c r="B17" s="11"/>
      <c r="C17" s="14" t="s">
        <v>21</v>
      </c>
      <c r="D17" s="15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ht="15.0" customHeight="1">
      <c r="A18" s="13" t="s">
        <v>22</v>
      </c>
      <c r="B18" s="11"/>
      <c r="C18" s="14" t="s">
        <v>23</v>
      </c>
      <c r="D18" s="15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5.0" customHeight="1">
      <c r="A19" s="13" t="s">
        <v>24</v>
      </c>
      <c r="B19" s="11"/>
      <c r="C19" s="14" t="s">
        <v>25</v>
      </c>
      <c r="D19" s="15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ht="24.0" customHeight="1">
      <c r="A21" s="16" t="s">
        <v>92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8"/>
    </row>
    <row r="22" ht="15.0" customHeight="1">
      <c r="A22" s="19" t="s">
        <v>27</v>
      </c>
      <c r="B22" s="19" t="s">
        <v>28</v>
      </c>
      <c r="C22" s="19" t="s">
        <v>29</v>
      </c>
      <c r="D22" s="19" t="s">
        <v>30</v>
      </c>
      <c r="E22" s="20" t="s">
        <v>31</v>
      </c>
      <c r="F22" s="18"/>
      <c r="G22" s="20" t="s">
        <v>32</v>
      </c>
      <c r="H22" s="18"/>
      <c r="I22" s="20" t="s">
        <v>33</v>
      </c>
      <c r="J22" s="18"/>
      <c r="K22" s="20" t="s">
        <v>34</v>
      </c>
      <c r="L22" s="18"/>
      <c r="M22" s="20" t="s">
        <v>35</v>
      </c>
      <c r="N22" s="18"/>
      <c r="O22" s="20" t="s">
        <v>36</v>
      </c>
      <c r="P22" s="18"/>
      <c r="Q22" s="20" t="s">
        <v>37</v>
      </c>
      <c r="R22" s="18"/>
      <c r="S22" s="20" t="s">
        <v>38</v>
      </c>
      <c r="T22" s="18"/>
      <c r="U22" s="20" t="s">
        <v>39</v>
      </c>
      <c r="V22" s="18"/>
      <c r="W22" s="20" t="s">
        <v>40</v>
      </c>
      <c r="X22" s="18"/>
    </row>
    <row r="23" ht="15.0" customHeight="1">
      <c r="A23" s="21"/>
      <c r="B23" s="21"/>
      <c r="C23" s="21"/>
      <c r="D23" s="21"/>
      <c r="E23" s="22" t="s">
        <v>41</v>
      </c>
      <c r="F23" s="22" t="s">
        <v>42</v>
      </c>
      <c r="G23" s="22" t="s">
        <v>41</v>
      </c>
      <c r="H23" s="22" t="s">
        <v>42</v>
      </c>
      <c r="I23" s="22" t="s">
        <v>41</v>
      </c>
      <c r="J23" s="22" t="s">
        <v>42</v>
      </c>
      <c r="K23" s="22" t="s">
        <v>41</v>
      </c>
      <c r="L23" s="22" t="s">
        <v>42</v>
      </c>
      <c r="M23" s="22" t="s">
        <v>41</v>
      </c>
      <c r="N23" s="22" t="s">
        <v>42</v>
      </c>
      <c r="O23" s="22" t="s">
        <v>41</v>
      </c>
      <c r="P23" s="22" t="s">
        <v>42</v>
      </c>
      <c r="Q23" s="22" t="s">
        <v>41</v>
      </c>
      <c r="R23" s="22" t="s">
        <v>42</v>
      </c>
      <c r="S23" s="22" t="s">
        <v>41</v>
      </c>
      <c r="T23" s="22" t="s">
        <v>42</v>
      </c>
      <c r="U23" s="22" t="s">
        <v>41</v>
      </c>
      <c r="V23" s="22" t="s">
        <v>42</v>
      </c>
      <c r="W23" s="22" t="s">
        <v>41</v>
      </c>
      <c r="X23" s="22" t="s">
        <v>42</v>
      </c>
    </row>
    <row r="24" ht="15.0" customHeight="1">
      <c r="A24" s="23" t="s">
        <v>43</v>
      </c>
      <c r="B24" s="23" t="s">
        <v>44</v>
      </c>
      <c r="C24" s="23" t="s">
        <v>67</v>
      </c>
      <c r="D24" s="39" t="s">
        <v>45</v>
      </c>
      <c r="E24" s="23">
        <v>10.0</v>
      </c>
      <c r="F24" s="23">
        <v>15.0</v>
      </c>
      <c r="G24" s="23">
        <v>10.0</v>
      </c>
      <c r="H24" s="23">
        <v>15.0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</row>
    <row r="25" ht="15.0" customHeight="1">
      <c r="A25" s="23" t="s">
        <v>46</v>
      </c>
      <c r="B25" s="23" t="s">
        <v>47</v>
      </c>
      <c r="C25" s="23" t="s">
        <v>60</v>
      </c>
      <c r="D25" s="39" t="s">
        <v>48</v>
      </c>
      <c r="E25" s="23">
        <v>15.0</v>
      </c>
      <c r="F25" s="23">
        <v>5.0</v>
      </c>
      <c r="G25" s="23">
        <v>20.0</v>
      </c>
      <c r="H25" s="23">
        <v>6.0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</row>
    <row r="26" ht="15.0" customHeight="1">
      <c r="A26" s="27" t="s">
        <v>50</v>
      </c>
      <c r="B26" s="7" t="s">
        <v>51</v>
      </c>
      <c r="C26" s="7" t="s">
        <v>63</v>
      </c>
      <c r="D26" s="30"/>
      <c r="E26" s="32">
        <v>30.0</v>
      </c>
      <c r="F26" s="32">
        <v>10.0</v>
      </c>
      <c r="G26" s="32">
        <v>40.0</v>
      </c>
      <c r="H26" s="32">
        <v>10.0</v>
      </c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</row>
    <row r="27" ht="15.0" customHeight="1">
      <c r="A27" s="27" t="s">
        <v>52</v>
      </c>
      <c r="B27" s="7" t="s">
        <v>54</v>
      </c>
      <c r="C27" s="7" t="s">
        <v>58</v>
      </c>
      <c r="D27" s="3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</row>
    <row r="28" ht="32.25" customHeight="1">
      <c r="A28" s="33" t="s">
        <v>55</v>
      </c>
      <c r="B28" s="34"/>
      <c r="C28" s="34"/>
      <c r="D28" s="34"/>
      <c r="E28" s="35" t="s">
        <v>56</v>
      </c>
      <c r="F28" s="36">
        <f>IFERROR(SUMPRODUCT(E26:E27,F26:F27),"")</f>
        <v>300</v>
      </c>
      <c r="G28" s="37">
        <f>IFERROR((H28-F28)/F28,"")</f>
        <v>0.3333333333</v>
      </c>
      <c r="H28" s="36">
        <f>IFERROR(SUMPRODUCT(G26:G27,H26:H27),"")</f>
        <v>400</v>
      </c>
      <c r="I28" s="37">
        <f>IFERROR((J28-H28)/H28,"")</f>
        <v>-1</v>
      </c>
      <c r="J28" s="36">
        <f>IFERROR(SUMPRODUCT(I26:I27,J26:J27),"")</f>
        <v>0</v>
      </c>
      <c r="K28" s="37" t="str">
        <f>IFERROR((L28-J28)/J28,"")</f>
        <v/>
      </c>
      <c r="L28" s="36">
        <f>IFERROR(SUMPRODUCT(K26:K27,L26:L27),"")</f>
        <v>0</v>
      </c>
      <c r="M28" s="37" t="str">
        <f>IFERROR((N28-L28)/L28,"")</f>
        <v/>
      </c>
      <c r="N28" s="36">
        <f>IFERROR(SUMPRODUCT(M26:M27,N26:N27),"")</f>
        <v>0</v>
      </c>
      <c r="O28" s="37" t="str">
        <f>IFERROR((P28-N28)/N28,"")</f>
        <v/>
      </c>
      <c r="P28" s="36">
        <f>IFERROR(SUMPRODUCT(O26:O27,P26:P27),"")</f>
        <v>0</v>
      </c>
      <c r="Q28" s="37" t="str">
        <f>IFERROR((R28-P28)/P28,"")</f>
        <v/>
      </c>
      <c r="R28" s="36">
        <f>IFERROR(SUMPRODUCT(Q26:Q27,R26:R27),"")</f>
        <v>0</v>
      </c>
      <c r="S28" s="37" t="str">
        <f>IFERROR((T28-R28)/R28,"")</f>
        <v/>
      </c>
      <c r="T28" s="36">
        <f>IFERROR(SUMPRODUCT(S26:S27,T26:T27),"")</f>
        <v>0</v>
      </c>
      <c r="U28" s="37" t="str">
        <f>IFERROR((V28-T28)/T28,"")</f>
        <v/>
      </c>
      <c r="V28" s="36">
        <f>IFERROR(SUMPRODUCT(U26:U27,V26:V27),"")</f>
        <v>0</v>
      </c>
      <c r="W28" s="37" t="str">
        <f>IFERROR((X28-V28)/V28,"")</f>
        <v/>
      </c>
      <c r="X28" s="36">
        <f>IFERROR(SUMPRODUCT(W26:W27,X26:X27),"")</f>
        <v>0</v>
      </c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ht="24.0" customHeight="1">
      <c r="A30" s="16" t="s">
        <v>80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8"/>
    </row>
    <row r="31" ht="15.0" customHeight="1">
      <c r="A31" s="19" t="s">
        <v>27</v>
      </c>
      <c r="B31" s="19" t="s">
        <v>28</v>
      </c>
      <c r="C31" s="19" t="s">
        <v>29</v>
      </c>
      <c r="D31" s="19" t="s">
        <v>30</v>
      </c>
      <c r="E31" s="20" t="s">
        <v>31</v>
      </c>
      <c r="F31" s="18"/>
      <c r="G31" s="20" t="s">
        <v>32</v>
      </c>
      <c r="H31" s="18"/>
      <c r="I31" s="20" t="s">
        <v>33</v>
      </c>
      <c r="J31" s="18"/>
      <c r="K31" s="20" t="s">
        <v>34</v>
      </c>
      <c r="L31" s="18"/>
      <c r="M31" s="20" t="s">
        <v>35</v>
      </c>
      <c r="N31" s="18"/>
      <c r="O31" s="20" t="s">
        <v>36</v>
      </c>
      <c r="P31" s="18"/>
      <c r="Q31" s="20" t="s">
        <v>37</v>
      </c>
      <c r="R31" s="18"/>
      <c r="S31" s="20" t="s">
        <v>38</v>
      </c>
      <c r="T31" s="18"/>
      <c r="U31" s="20" t="s">
        <v>39</v>
      </c>
      <c r="V31" s="18"/>
      <c r="W31" s="20" t="s">
        <v>40</v>
      </c>
      <c r="X31" s="18"/>
    </row>
    <row r="32" ht="15.0" customHeight="1">
      <c r="A32" s="21"/>
      <c r="B32" s="21"/>
      <c r="C32" s="21"/>
      <c r="D32" s="21"/>
      <c r="E32" s="22" t="s">
        <v>41</v>
      </c>
      <c r="F32" s="22" t="s">
        <v>42</v>
      </c>
      <c r="G32" s="22" t="s">
        <v>41</v>
      </c>
      <c r="H32" s="22" t="s">
        <v>42</v>
      </c>
      <c r="I32" s="22" t="s">
        <v>41</v>
      </c>
      <c r="J32" s="22" t="s">
        <v>42</v>
      </c>
      <c r="K32" s="22" t="s">
        <v>41</v>
      </c>
      <c r="L32" s="22" t="s">
        <v>42</v>
      </c>
      <c r="M32" s="22" t="s">
        <v>41</v>
      </c>
      <c r="N32" s="22" t="s">
        <v>42</v>
      </c>
      <c r="O32" s="22" t="s">
        <v>41</v>
      </c>
      <c r="P32" s="22" t="s">
        <v>42</v>
      </c>
      <c r="Q32" s="22" t="s">
        <v>41</v>
      </c>
      <c r="R32" s="22" t="s">
        <v>42</v>
      </c>
      <c r="S32" s="22" t="s">
        <v>41</v>
      </c>
      <c r="T32" s="22" t="s">
        <v>42</v>
      </c>
      <c r="U32" s="22" t="s">
        <v>41</v>
      </c>
      <c r="V32" s="22" t="s">
        <v>42</v>
      </c>
      <c r="W32" s="22" t="s">
        <v>41</v>
      </c>
      <c r="X32" s="22" t="s">
        <v>42</v>
      </c>
    </row>
    <row r="33" ht="15.0" customHeight="1">
      <c r="A33" s="27" t="s">
        <v>50</v>
      </c>
      <c r="B33" s="7" t="s">
        <v>51</v>
      </c>
      <c r="C33" s="7" t="s">
        <v>63</v>
      </c>
      <c r="D33" s="30"/>
      <c r="E33" s="32">
        <v>20.0</v>
      </c>
      <c r="F33" s="32">
        <v>12.0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</row>
    <row r="34" ht="15.0" customHeight="1">
      <c r="A34" s="27" t="s">
        <v>52</v>
      </c>
      <c r="B34" s="7" t="s">
        <v>54</v>
      </c>
      <c r="C34" s="7" t="s">
        <v>58</v>
      </c>
      <c r="D34" s="30"/>
      <c r="E34" s="32">
        <v>20.0</v>
      </c>
      <c r="F34" s="32">
        <v>14.0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</row>
    <row r="35" ht="32.25" customHeight="1">
      <c r="A35" s="33" t="s">
        <v>55</v>
      </c>
      <c r="B35" s="34"/>
      <c r="C35" s="34"/>
      <c r="D35" s="34"/>
      <c r="E35" s="35" t="s">
        <v>56</v>
      </c>
      <c r="F35" s="36">
        <f>IFERROR(SUMPRODUCT(E33:E34,F33:F34),"")</f>
        <v>520</v>
      </c>
      <c r="G35" s="37">
        <f>IFERROR((H35-F35)/F35,"")</f>
        <v>-1</v>
      </c>
      <c r="H35" s="36">
        <f>IFERROR(SUMPRODUCT(G33:G34,H33:H34),"")</f>
        <v>0</v>
      </c>
      <c r="I35" s="37" t="str">
        <f>IFERROR((J35-H35)/H35,"")</f>
        <v/>
      </c>
      <c r="J35" s="36">
        <f>IFERROR(SUMPRODUCT(I33:I34,J33:J34),"")</f>
        <v>0</v>
      </c>
      <c r="K35" s="37" t="str">
        <f>IFERROR((L35-J35)/J35,"")</f>
        <v/>
      </c>
      <c r="L35" s="36">
        <f>IFERROR(SUMPRODUCT(K33:K34,L33:L34),"")</f>
        <v>0</v>
      </c>
      <c r="M35" s="37" t="str">
        <f>IFERROR((N35-L35)/L35,"")</f>
        <v/>
      </c>
      <c r="N35" s="36">
        <f>IFERROR(SUMPRODUCT(M33:M34,N33:N34),"")</f>
        <v>0</v>
      </c>
      <c r="O35" s="37" t="str">
        <f>IFERROR((P35-N35)/N35,"")</f>
        <v/>
      </c>
      <c r="P35" s="36">
        <f>IFERROR(SUMPRODUCT(O33:O34,P33:P34),"")</f>
        <v>0</v>
      </c>
      <c r="Q35" s="37" t="str">
        <f>IFERROR((R35-P35)/P35,"")</f>
        <v/>
      </c>
      <c r="R35" s="36">
        <f>IFERROR(SUMPRODUCT(Q33:Q34,R33:R34),"")</f>
        <v>0</v>
      </c>
      <c r="S35" s="37" t="str">
        <f>IFERROR((T35-R35)/R35,"")</f>
        <v/>
      </c>
      <c r="T35" s="36">
        <f>IFERROR(SUMPRODUCT(S33:S34,T33:T34),"")</f>
        <v>0</v>
      </c>
      <c r="U35" s="37" t="str">
        <f>IFERROR((V35-T35)/T35,"")</f>
        <v/>
      </c>
      <c r="V35" s="36">
        <f>IFERROR(SUMPRODUCT(U33:U34,V33:V34),"")</f>
        <v>0</v>
      </c>
      <c r="W35" s="37" t="str">
        <f>IFERROR((X35-V35)/V35,"")</f>
        <v/>
      </c>
      <c r="X35" s="36">
        <f>IFERROR(SUMPRODUCT(W33:W34,X33:X34),"")</f>
        <v>0</v>
      </c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ht="24.0" customHeight="1">
      <c r="A37" s="16" t="s">
        <v>81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8"/>
    </row>
    <row r="38" ht="15.0" customHeight="1">
      <c r="A38" s="19" t="s">
        <v>27</v>
      </c>
      <c r="B38" s="19" t="s">
        <v>28</v>
      </c>
      <c r="C38" s="19" t="s">
        <v>29</v>
      </c>
      <c r="D38" s="19" t="s">
        <v>30</v>
      </c>
      <c r="E38" s="20" t="s">
        <v>31</v>
      </c>
      <c r="F38" s="18"/>
      <c r="G38" s="20" t="s">
        <v>32</v>
      </c>
      <c r="H38" s="18"/>
      <c r="I38" s="20" t="s">
        <v>33</v>
      </c>
      <c r="J38" s="18"/>
      <c r="K38" s="20" t="s">
        <v>34</v>
      </c>
      <c r="L38" s="18"/>
      <c r="M38" s="20" t="s">
        <v>35</v>
      </c>
      <c r="N38" s="18"/>
      <c r="O38" s="20" t="s">
        <v>36</v>
      </c>
      <c r="P38" s="18"/>
      <c r="Q38" s="20" t="s">
        <v>37</v>
      </c>
      <c r="R38" s="18"/>
      <c r="S38" s="20" t="s">
        <v>38</v>
      </c>
      <c r="T38" s="18"/>
      <c r="U38" s="20" t="s">
        <v>39</v>
      </c>
      <c r="V38" s="18"/>
      <c r="W38" s="20" t="s">
        <v>40</v>
      </c>
      <c r="X38" s="18"/>
    </row>
    <row r="39" ht="15.0" customHeight="1">
      <c r="A39" s="21"/>
      <c r="B39" s="21"/>
      <c r="C39" s="21"/>
      <c r="D39" s="21"/>
      <c r="E39" s="22" t="s">
        <v>41</v>
      </c>
      <c r="F39" s="22" t="s">
        <v>42</v>
      </c>
      <c r="G39" s="22" t="s">
        <v>41</v>
      </c>
      <c r="H39" s="22" t="s">
        <v>42</v>
      </c>
      <c r="I39" s="22" t="s">
        <v>41</v>
      </c>
      <c r="J39" s="22" t="s">
        <v>42</v>
      </c>
      <c r="K39" s="22" t="s">
        <v>41</v>
      </c>
      <c r="L39" s="22" t="s">
        <v>42</v>
      </c>
      <c r="M39" s="22" t="s">
        <v>41</v>
      </c>
      <c r="N39" s="22" t="s">
        <v>42</v>
      </c>
      <c r="O39" s="22" t="s">
        <v>41</v>
      </c>
      <c r="P39" s="22" t="s">
        <v>42</v>
      </c>
      <c r="Q39" s="22" t="s">
        <v>41</v>
      </c>
      <c r="R39" s="22" t="s">
        <v>42</v>
      </c>
      <c r="S39" s="22" t="s">
        <v>41</v>
      </c>
      <c r="T39" s="22" t="s">
        <v>42</v>
      </c>
      <c r="U39" s="22" t="s">
        <v>41</v>
      </c>
      <c r="V39" s="22" t="s">
        <v>42</v>
      </c>
      <c r="W39" s="22" t="s">
        <v>41</v>
      </c>
      <c r="X39" s="22" t="s">
        <v>42</v>
      </c>
    </row>
    <row r="40" ht="15.0" customHeight="1">
      <c r="A40" s="27" t="s">
        <v>50</v>
      </c>
      <c r="B40" s="7" t="s">
        <v>51</v>
      </c>
      <c r="C40" s="7" t="s">
        <v>63</v>
      </c>
      <c r="D40" s="30"/>
      <c r="E40" s="32">
        <v>19.0</v>
      </c>
      <c r="F40" s="32">
        <v>10.0</v>
      </c>
      <c r="G40" s="32">
        <v>19.0</v>
      </c>
      <c r="H40" s="32">
        <v>12.0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</row>
    <row r="41" ht="15.0" customHeight="1">
      <c r="A41" s="27" t="s">
        <v>52</v>
      </c>
      <c r="B41" s="7" t="s">
        <v>54</v>
      </c>
      <c r="C41" s="7" t="s">
        <v>58</v>
      </c>
      <c r="D41" s="30"/>
      <c r="E41" s="32">
        <v>19.0</v>
      </c>
      <c r="F41" s="32">
        <v>10.0</v>
      </c>
      <c r="G41" s="32">
        <v>19.0</v>
      </c>
      <c r="H41" s="32">
        <v>12.0</v>
      </c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</row>
    <row r="42" ht="32.25" customHeight="1">
      <c r="A42" s="33" t="s">
        <v>55</v>
      </c>
      <c r="B42" s="34"/>
      <c r="C42" s="34"/>
      <c r="D42" s="34"/>
      <c r="E42" s="35" t="s">
        <v>56</v>
      </c>
      <c r="F42" s="36">
        <f>IFERROR(SUMPRODUCT(E40:E41,F40:F41),"")</f>
        <v>380</v>
      </c>
      <c r="G42" s="37">
        <f>IFERROR((H42-F42)/F42,"")</f>
        <v>0.2</v>
      </c>
      <c r="H42" s="36">
        <f>IFERROR(SUMPRODUCT(G40:G41,H40:H41),"")</f>
        <v>456</v>
      </c>
      <c r="I42" s="37">
        <f>IFERROR((J42-H42)/H42,"")</f>
        <v>-1</v>
      </c>
      <c r="J42" s="36">
        <f>IFERROR(SUMPRODUCT(I40:I41,J40:J41),"")</f>
        <v>0</v>
      </c>
      <c r="K42" s="37" t="str">
        <f>IFERROR((L42-J42)/J42,"")</f>
        <v/>
      </c>
      <c r="L42" s="36">
        <f>IFERROR(SUMPRODUCT(K40:K41,L40:L41),"")</f>
        <v>0</v>
      </c>
      <c r="M42" s="37" t="str">
        <f>IFERROR((N42-L42)/L42,"")</f>
        <v/>
      </c>
      <c r="N42" s="36">
        <f>IFERROR(SUMPRODUCT(M40:M41,N40:N41),"")</f>
        <v>0</v>
      </c>
      <c r="O42" s="37" t="str">
        <f>IFERROR((P42-N42)/N42,"")</f>
        <v/>
      </c>
      <c r="P42" s="36">
        <f>IFERROR(SUMPRODUCT(O40:O41,P40:P41),"")</f>
        <v>0</v>
      </c>
      <c r="Q42" s="37" t="str">
        <f>IFERROR((R42-P42)/P42,"")</f>
        <v/>
      </c>
      <c r="R42" s="36">
        <f>IFERROR(SUMPRODUCT(Q40:Q41,R40:R41),"")</f>
        <v>0</v>
      </c>
      <c r="S42" s="37" t="str">
        <f>IFERROR((T42-R42)/R42,"")</f>
        <v/>
      </c>
      <c r="T42" s="36">
        <f>IFERROR(SUMPRODUCT(S40:S41,T40:T41),"")</f>
        <v>0</v>
      </c>
      <c r="U42" s="37" t="str">
        <f>IFERROR((V42-T42)/T42,"")</f>
        <v/>
      </c>
      <c r="V42" s="36">
        <f>IFERROR(SUMPRODUCT(U40:U41,V40:V41),"")</f>
        <v>0</v>
      </c>
      <c r="W42" s="37" t="str">
        <f>IFERROR((X42-V42)/V42,"")</f>
        <v/>
      </c>
      <c r="X42" s="36">
        <f>IFERROR(SUMPRODUCT(W40:W41,X40:X41),"")</f>
        <v>0</v>
      </c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ht="24.0" customHeight="1">
      <c r="A44" s="16" t="s">
        <v>93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8"/>
    </row>
    <row r="45" ht="15.0" customHeight="1">
      <c r="A45" s="19" t="s">
        <v>27</v>
      </c>
      <c r="B45" s="19" t="s">
        <v>28</v>
      </c>
      <c r="C45" s="19" t="s">
        <v>29</v>
      </c>
      <c r="D45" s="19" t="s">
        <v>30</v>
      </c>
      <c r="E45" s="20" t="s">
        <v>31</v>
      </c>
      <c r="F45" s="18"/>
      <c r="G45" s="20" t="s">
        <v>32</v>
      </c>
      <c r="H45" s="18"/>
      <c r="I45" s="20" t="s">
        <v>33</v>
      </c>
      <c r="J45" s="18"/>
      <c r="K45" s="20" t="s">
        <v>34</v>
      </c>
      <c r="L45" s="18"/>
      <c r="M45" s="20" t="s">
        <v>35</v>
      </c>
      <c r="N45" s="18"/>
      <c r="O45" s="20" t="s">
        <v>36</v>
      </c>
      <c r="P45" s="18"/>
      <c r="Q45" s="20" t="s">
        <v>37</v>
      </c>
      <c r="R45" s="18"/>
      <c r="S45" s="20" t="s">
        <v>38</v>
      </c>
      <c r="T45" s="18"/>
      <c r="U45" s="20" t="s">
        <v>39</v>
      </c>
      <c r="V45" s="18"/>
      <c r="W45" s="20" t="s">
        <v>40</v>
      </c>
      <c r="X45" s="18"/>
    </row>
    <row r="46" ht="15.0" customHeight="1">
      <c r="A46" s="21"/>
      <c r="B46" s="21"/>
      <c r="C46" s="21"/>
      <c r="D46" s="21"/>
      <c r="E46" s="22" t="s">
        <v>41</v>
      </c>
      <c r="F46" s="22" t="s">
        <v>42</v>
      </c>
      <c r="G46" s="22" t="s">
        <v>41</v>
      </c>
      <c r="H46" s="22" t="s">
        <v>42</v>
      </c>
      <c r="I46" s="22" t="s">
        <v>41</v>
      </c>
      <c r="J46" s="22" t="s">
        <v>42</v>
      </c>
      <c r="K46" s="22" t="s">
        <v>41</v>
      </c>
      <c r="L46" s="22" t="s">
        <v>42</v>
      </c>
      <c r="M46" s="22" t="s">
        <v>41</v>
      </c>
      <c r="N46" s="22" t="s">
        <v>42</v>
      </c>
      <c r="O46" s="22" t="s">
        <v>41</v>
      </c>
      <c r="P46" s="22" t="s">
        <v>42</v>
      </c>
      <c r="Q46" s="22" t="s">
        <v>41</v>
      </c>
      <c r="R46" s="22" t="s">
        <v>42</v>
      </c>
      <c r="S46" s="22" t="s">
        <v>41</v>
      </c>
      <c r="T46" s="22" t="s">
        <v>42</v>
      </c>
      <c r="U46" s="22" t="s">
        <v>41</v>
      </c>
      <c r="V46" s="22" t="s">
        <v>42</v>
      </c>
      <c r="W46" s="22" t="s">
        <v>41</v>
      </c>
      <c r="X46" s="22" t="s">
        <v>42</v>
      </c>
    </row>
    <row r="47" ht="15.0" customHeight="1">
      <c r="A47" s="23" t="s">
        <v>43</v>
      </c>
      <c r="B47" s="23" t="s">
        <v>44</v>
      </c>
      <c r="C47" s="23" t="s">
        <v>67</v>
      </c>
      <c r="D47" s="39" t="s">
        <v>45</v>
      </c>
      <c r="E47" s="23">
        <v>12.0</v>
      </c>
      <c r="F47" s="23">
        <v>12.0</v>
      </c>
      <c r="G47" s="23">
        <v>12.0</v>
      </c>
      <c r="H47" s="23">
        <v>12.0</v>
      </c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</row>
    <row r="48" ht="15.0" customHeight="1">
      <c r="A48" s="23" t="s">
        <v>46</v>
      </c>
      <c r="B48" s="23" t="s">
        <v>47</v>
      </c>
      <c r="C48" s="23" t="s">
        <v>60</v>
      </c>
      <c r="D48" s="39" t="s">
        <v>48</v>
      </c>
      <c r="E48" s="23">
        <v>26.0</v>
      </c>
      <c r="F48" s="23">
        <v>6.0</v>
      </c>
      <c r="G48" s="23">
        <v>26.0</v>
      </c>
      <c r="H48" s="23">
        <v>6.0</v>
      </c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</row>
    <row r="49" ht="15.0" customHeight="1">
      <c r="A49" s="27" t="s">
        <v>50</v>
      </c>
      <c r="B49" s="7" t="s">
        <v>51</v>
      </c>
      <c r="C49" s="7" t="s">
        <v>63</v>
      </c>
      <c r="D49" s="30"/>
      <c r="E49" s="32">
        <v>40.0</v>
      </c>
      <c r="F49" s="32">
        <v>12.0</v>
      </c>
      <c r="G49" s="32">
        <v>40.0</v>
      </c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</row>
    <row r="50" ht="15.0" customHeight="1">
      <c r="A50" s="27" t="s">
        <v>52</v>
      </c>
      <c r="B50" s="7" t="s">
        <v>54</v>
      </c>
      <c r="C50" s="7" t="s">
        <v>63</v>
      </c>
      <c r="D50" s="30"/>
      <c r="E50" s="32">
        <v>47.0</v>
      </c>
      <c r="F50" s="32">
        <v>8.0</v>
      </c>
      <c r="G50" s="32">
        <v>47.0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</row>
    <row r="51" ht="15.0" customHeight="1">
      <c r="A51" s="27" t="s">
        <v>53</v>
      </c>
      <c r="B51" s="7" t="s">
        <v>54</v>
      </c>
      <c r="C51" s="7" t="s">
        <v>58</v>
      </c>
      <c r="D51" s="30"/>
      <c r="E51" s="32">
        <v>47.0</v>
      </c>
      <c r="F51" s="32">
        <v>6.0</v>
      </c>
      <c r="G51" s="32">
        <v>47.0</v>
      </c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</row>
    <row r="52" ht="32.25" customHeight="1">
      <c r="A52" s="33" t="s">
        <v>55</v>
      </c>
      <c r="B52" s="34"/>
      <c r="C52" s="34"/>
      <c r="D52" s="34"/>
      <c r="E52" s="35" t="s">
        <v>56</v>
      </c>
      <c r="F52" s="36">
        <f>IFERROR(SUMPRODUCT(E49:E51,F49:F51),"")</f>
        <v>1138</v>
      </c>
      <c r="G52" s="37">
        <f>IFERROR((H52-F52)/F52,"")</f>
        <v>-1</v>
      </c>
      <c r="H52" s="36">
        <f>IFERROR(SUMPRODUCT(G49:G51,H49:H51),"")</f>
        <v>0</v>
      </c>
      <c r="I52" s="37" t="str">
        <f>IFERROR((J52-H52)/H52,"")</f>
        <v/>
      </c>
      <c r="J52" s="36">
        <f>IFERROR(SUMPRODUCT(I49:I51,J49:J51),"")</f>
        <v>0</v>
      </c>
      <c r="K52" s="37" t="str">
        <f>IFERROR((L52-J52)/J52,"")</f>
        <v/>
      </c>
      <c r="L52" s="36">
        <f>IFERROR(SUMPRODUCT(K49:K51,L49:L51),"")</f>
        <v>0</v>
      </c>
      <c r="M52" s="37" t="str">
        <f>IFERROR((N52-L52)/L52,"")</f>
        <v/>
      </c>
      <c r="N52" s="36">
        <f>IFERROR(SUMPRODUCT(M49:M51,N49:N51),"")</f>
        <v>0</v>
      </c>
      <c r="O52" s="37" t="str">
        <f>IFERROR((P52-N52)/N52,"")</f>
        <v/>
      </c>
      <c r="P52" s="36">
        <f>IFERROR(SUMPRODUCT(O49:O51,P49:P51),"")</f>
        <v>0</v>
      </c>
      <c r="Q52" s="37" t="str">
        <f>IFERROR((R52-P52)/P52,"")</f>
        <v/>
      </c>
      <c r="R52" s="36">
        <f>IFERROR(SUMPRODUCT(Q49:Q51,R49:R51),"")</f>
        <v>0</v>
      </c>
      <c r="S52" s="37" t="str">
        <f>IFERROR((T52-R52)/R52,"")</f>
        <v/>
      </c>
      <c r="T52" s="36">
        <f>IFERROR(SUMPRODUCT(S49:S51,T49:T51),"")</f>
        <v>0</v>
      </c>
      <c r="U52" s="37" t="str">
        <f>IFERROR((V52-T52)/T52,"")</f>
        <v/>
      </c>
      <c r="V52" s="36">
        <f>IFERROR(SUMPRODUCT(U49:U51,V49:V51),"")</f>
        <v>0</v>
      </c>
      <c r="W52" s="37" t="str">
        <f>IFERROR((X52-V52)/V52,"")</f>
        <v/>
      </c>
      <c r="X52" s="36">
        <f>IFERROR(SUMPRODUCT(W49:W51,X49:X51),"")</f>
        <v>0</v>
      </c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ht="24.0" customHeight="1">
      <c r="A54" s="16" t="s">
        <v>94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8"/>
    </row>
    <row r="55" ht="15.0" customHeight="1">
      <c r="A55" s="19" t="s">
        <v>27</v>
      </c>
      <c r="B55" s="19" t="s">
        <v>28</v>
      </c>
      <c r="C55" s="19" t="s">
        <v>29</v>
      </c>
      <c r="D55" s="19" t="s">
        <v>30</v>
      </c>
      <c r="E55" s="20" t="s">
        <v>31</v>
      </c>
      <c r="F55" s="18"/>
      <c r="G55" s="20" t="s">
        <v>32</v>
      </c>
      <c r="H55" s="18"/>
      <c r="I55" s="20" t="s">
        <v>33</v>
      </c>
      <c r="J55" s="18"/>
      <c r="K55" s="20" t="s">
        <v>34</v>
      </c>
      <c r="L55" s="18"/>
      <c r="M55" s="20" t="s">
        <v>35</v>
      </c>
      <c r="N55" s="18"/>
      <c r="O55" s="20" t="s">
        <v>36</v>
      </c>
      <c r="P55" s="18"/>
      <c r="Q55" s="20" t="s">
        <v>37</v>
      </c>
      <c r="R55" s="18"/>
      <c r="S55" s="20" t="s">
        <v>38</v>
      </c>
      <c r="T55" s="18"/>
      <c r="U55" s="20" t="s">
        <v>39</v>
      </c>
      <c r="V55" s="18"/>
      <c r="W55" s="20" t="s">
        <v>40</v>
      </c>
      <c r="X55" s="18"/>
    </row>
    <row r="56" ht="15.0" customHeight="1">
      <c r="A56" s="21"/>
      <c r="B56" s="21"/>
      <c r="C56" s="21"/>
      <c r="D56" s="21"/>
      <c r="E56" s="22" t="s">
        <v>41</v>
      </c>
      <c r="F56" s="22" t="s">
        <v>42</v>
      </c>
      <c r="G56" s="22" t="s">
        <v>41</v>
      </c>
      <c r="H56" s="22" t="s">
        <v>42</v>
      </c>
      <c r="I56" s="22" t="s">
        <v>41</v>
      </c>
      <c r="J56" s="22" t="s">
        <v>42</v>
      </c>
      <c r="K56" s="22" t="s">
        <v>41</v>
      </c>
      <c r="L56" s="22" t="s">
        <v>42</v>
      </c>
      <c r="M56" s="22" t="s">
        <v>41</v>
      </c>
      <c r="N56" s="22" t="s">
        <v>42</v>
      </c>
      <c r="O56" s="22" t="s">
        <v>41</v>
      </c>
      <c r="P56" s="22" t="s">
        <v>42</v>
      </c>
      <c r="Q56" s="22" t="s">
        <v>41</v>
      </c>
      <c r="R56" s="22" t="s">
        <v>42</v>
      </c>
      <c r="S56" s="22" t="s">
        <v>41</v>
      </c>
      <c r="T56" s="22" t="s">
        <v>42</v>
      </c>
      <c r="U56" s="22" t="s">
        <v>41</v>
      </c>
      <c r="V56" s="22" t="s">
        <v>42</v>
      </c>
      <c r="W56" s="22" t="s">
        <v>41</v>
      </c>
      <c r="X56" s="22" t="s">
        <v>42</v>
      </c>
    </row>
    <row r="57" ht="15.0" customHeight="1">
      <c r="A57" s="23" t="s">
        <v>46</v>
      </c>
      <c r="B57" s="23" t="s">
        <v>47</v>
      </c>
      <c r="C57" s="23" t="s">
        <v>95</v>
      </c>
      <c r="D57" s="39"/>
      <c r="E57" s="23">
        <v>33.0</v>
      </c>
      <c r="F57" s="23">
        <v>6.0</v>
      </c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</row>
    <row r="58" ht="15.0" customHeight="1">
      <c r="A58" s="27" t="s">
        <v>50</v>
      </c>
      <c r="B58" s="7" t="s">
        <v>51</v>
      </c>
      <c r="C58" s="7" t="s">
        <v>63</v>
      </c>
      <c r="D58" s="30"/>
      <c r="E58" s="32">
        <v>40.0</v>
      </c>
      <c r="F58" s="32">
        <v>12.0</v>
      </c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</row>
    <row r="59" ht="15.0" customHeight="1">
      <c r="A59" s="27" t="s">
        <v>52</v>
      </c>
      <c r="B59" s="7" t="s">
        <v>54</v>
      </c>
      <c r="C59" s="7" t="s">
        <v>64</v>
      </c>
      <c r="D59" s="30"/>
      <c r="E59" s="32">
        <v>40.0</v>
      </c>
      <c r="F59" s="32">
        <v>12.0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</row>
    <row r="60" ht="15.0" customHeight="1">
      <c r="A60" s="27" t="s">
        <v>53</v>
      </c>
      <c r="B60" s="7" t="s">
        <v>54</v>
      </c>
      <c r="C60" s="7" t="s">
        <v>58</v>
      </c>
      <c r="D60" s="30"/>
      <c r="E60" s="32">
        <v>42.0</v>
      </c>
      <c r="F60" s="32">
        <v>6.0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</row>
    <row r="61" ht="32.25" customHeight="1">
      <c r="A61" s="33" t="s">
        <v>55</v>
      </c>
      <c r="B61" s="34"/>
      <c r="C61" s="34"/>
      <c r="D61" s="34"/>
      <c r="E61" s="35" t="s">
        <v>56</v>
      </c>
      <c r="F61" s="36">
        <f>IFERROR(SUMPRODUCT(E58:E60,F58:F60),"")</f>
        <v>1212</v>
      </c>
      <c r="G61" s="37">
        <f>IFERROR((H61-F61)/F61,"")</f>
        <v>-1</v>
      </c>
      <c r="H61" s="36">
        <f>IFERROR(SUMPRODUCT(G58:G60,H58:H60),"")</f>
        <v>0</v>
      </c>
      <c r="I61" s="37" t="str">
        <f>IFERROR((J61-H61)/H61,"")</f>
        <v/>
      </c>
      <c r="J61" s="36">
        <f>IFERROR(SUMPRODUCT(I58:I60,J58:J60),"")</f>
        <v>0</v>
      </c>
      <c r="K61" s="37" t="str">
        <f>IFERROR((L61-J61)/J61,"")</f>
        <v/>
      </c>
      <c r="L61" s="36">
        <f>IFERROR(SUMPRODUCT(K58:K60,L58:L60),"")</f>
        <v>0</v>
      </c>
      <c r="M61" s="37" t="str">
        <f>IFERROR((N61-L61)/L61,"")</f>
        <v/>
      </c>
      <c r="N61" s="36">
        <f>IFERROR(SUMPRODUCT(M58:M60,N58:N60),"")</f>
        <v>0</v>
      </c>
      <c r="O61" s="37" t="str">
        <f>IFERROR((P61-N61)/N61,"")</f>
        <v/>
      </c>
      <c r="P61" s="36">
        <f>IFERROR(SUMPRODUCT(O58:O60,P58:P60),"")</f>
        <v>0</v>
      </c>
      <c r="Q61" s="37" t="str">
        <f>IFERROR((R61-P61)/P61,"")</f>
        <v/>
      </c>
      <c r="R61" s="36">
        <f>IFERROR(SUMPRODUCT(Q58:Q60,R58:R60),"")</f>
        <v>0</v>
      </c>
      <c r="S61" s="37" t="str">
        <f>IFERROR((T61-R61)/R61,"")</f>
        <v/>
      </c>
      <c r="T61" s="36">
        <f>IFERROR(SUMPRODUCT(S58:S60,T58:T60),"")</f>
        <v>0</v>
      </c>
      <c r="U61" s="37" t="str">
        <f>IFERROR((V61-T61)/T61,"")</f>
        <v/>
      </c>
      <c r="V61" s="36">
        <f>IFERROR(SUMPRODUCT(U58:U60,V58:V60),"")</f>
        <v>0</v>
      </c>
      <c r="W61" s="37" t="str">
        <f>IFERROR((X61-V61)/V61,"")</f>
        <v/>
      </c>
      <c r="X61" s="36">
        <f>IFERROR(SUMPRODUCT(W58:W60,X58:X60),"")</f>
        <v>0</v>
      </c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ht="24.0" customHeight="1">
      <c r="A63" s="16" t="s">
        <v>96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8"/>
    </row>
    <row r="64" ht="15.0" customHeight="1">
      <c r="A64" s="19" t="s">
        <v>27</v>
      </c>
      <c r="B64" s="19" t="s">
        <v>28</v>
      </c>
      <c r="C64" s="19" t="s">
        <v>29</v>
      </c>
      <c r="D64" s="19" t="s">
        <v>30</v>
      </c>
      <c r="E64" s="20" t="s">
        <v>31</v>
      </c>
      <c r="F64" s="18"/>
      <c r="G64" s="20" t="s">
        <v>32</v>
      </c>
      <c r="H64" s="18"/>
      <c r="I64" s="20" t="s">
        <v>33</v>
      </c>
      <c r="J64" s="18"/>
      <c r="K64" s="20" t="s">
        <v>34</v>
      </c>
      <c r="L64" s="18"/>
      <c r="M64" s="20" t="s">
        <v>35</v>
      </c>
      <c r="N64" s="18"/>
      <c r="O64" s="20" t="s">
        <v>36</v>
      </c>
      <c r="P64" s="18"/>
      <c r="Q64" s="20" t="s">
        <v>37</v>
      </c>
      <c r="R64" s="18"/>
      <c r="S64" s="20" t="s">
        <v>38</v>
      </c>
      <c r="T64" s="18"/>
      <c r="U64" s="20" t="s">
        <v>39</v>
      </c>
      <c r="V64" s="18"/>
      <c r="W64" s="20" t="s">
        <v>40</v>
      </c>
      <c r="X64" s="18"/>
    </row>
    <row r="65" ht="15.0" customHeight="1">
      <c r="A65" s="21"/>
      <c r="B65" s="21"/>
      <c r="C65" s="21"/>
      <c r="D65" s="21"/>
      <c r="E65" s="22" t="s">
        <v>41</v>
      </c>
      <c r="F65" s="22" t="s">
        <v>42</v>
      </c>
      <c r="G65" s="22" t="s">
        <v>41</v>
      </c>
      <c r="H65" s="22" t="s">
        <v>42</v>
      </c>
      <c r="I65" s="22" t="s">
        <v>41</v>
      </c>
      <c r="J65" s="22" t="s">
        <v>42</v>
      </c>
      <c r="K65" s="22" t="s">
        <v>41</v>
      </c>
      <c r="L65" s="22" t="s">
        <v>42</v>
      </c>
      <c r="M65" s="22" t="s">
        <v>41</v>
      </c>
      <c r="N65" s="22" t="s">
        <v>42</v>
      </c>
      <c r="O65" s="22" t="s">
        <v>41</v>
      </c>
      <c r="P65" s="22" t="s">
        <v>42</v>
      </c>
      <c r="Q65" s="22" t="s">
        <v>41</v>
      </c>
      <c r="R65" s="22" t="s">
        <v>42</v>
      </c>
      <c r="S65" s="22" t="s">
        <v>41</v>
      </c>
      <c r="T65" s="22" t="s">
        <v>42</v>
      </c>
      <c r="U65" s="22" t="s">
        <v>41</v>
      </c>
      <c r="V65" s="22" t="s">
        <v>42</v>
      </c>
      <c r="W65" s="22" t="s">
        <v>41</v>
      </c>
      <c r="X65" s="22" t="s">
        <v>42</v>
      </c>
    </row>
    <row r="66" ht="15.0" customHeight="1">
      <c r="A66" s="27" t="s">
        <v>50</v>
      </c>
      <c r="B66" s="7" t="s">
        <v>51</v>
      </c>
      <c r="C66" s="7" t="s">
        <v>63</v>
      </c>
      <c r="D66" s="30"/>
      <c r="E66" s="32">
        <v>14.0</v>
      </c>
      <c r="F66" s="32">
        <v>8.0</v>
      </c>
      <c r="G66" s="32">
        <v>14.0</v>
      </c>
      <c r="H66" s="32">
        <v>8.0</v>
      </c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</row>
    <row r="67" ht="15.0" customHeight="1">
      <c r="A67" s="27" t="s">
        <v>52</v>
      </c>
      <c r="B67" s="7" t="s">
        <v>51</v>
      </c>
      <c r="C67" s="7" t="s">
        <v>64</v>
      </c>
      <c r="D67" s="30"/>
      <c r="E67" s="32">
        <v>10.0</v>
      </c>
      <c r="F67" s="32">
        <v>9.0</v>
      </c>
      <c r="G67" s="32">
        <v>14.0</v>
      </c>
      <c r="H67" s="32">
        <v>8.0</v>
      </c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</row>
    <row r="68" ht="15.0" customHeight="1">
      <c r="A68" s="27" t="s">
        <v>53</v>
      </c>
      <c r="B68" s="7" t="s">
        <v>54</v>
      </c>
      <c r="C68" s="7" t="s">
        <v>58</v>
      </c>
      <c r="D68" s="30"/>
      <c r="E68" s="32">
        <v>10.0</v>
      </c>
      <c r="F68" s="32">
        <v>6.0</v>
      </c>
      <c r="G68" s="32">
        <v>10.0</v>
      </c>
      <c r="H68" s="32">
        <v>8.0</v>
      </c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</row>
    <row r="69" ht="32.25" customHeight="1">
      <c r="A69" s="33" t="s">
        <v>55</v>
      </c>
      <c r="B69" s="34"/>
      <c r="C69" s="34"/>
      <c r="D69" s="34"/>
      <c r="E69" s="35" t="s">
        <v>56</v>
      </c>
      <c r="F69" s="36">
        <f>IFERROR(SUMPRODUCT(E66:E68,F66:F68),"")</f>
        <v>262</v>
      </c>
      <c r="G69" s="37">
        <f>IFERROR((H69-F69)/F69,"")</f>
        <v>0.1603053435</v>
      </c>
      <c r="H69" s="36">
        <f>IFERROR(SUMPRODUCT(G66:G68,H66:H68),"")</f>
        <v>304</v>
      </c>
      <c r="I69" s="37">
        <f>IFERROR((J69-H69)/H69,"")</f>
        <v>-1</v>
      </c>
      <c r="J69" s="36">
        <f>IFERROR(SUMPRODUCT(I66:I68,J66:J68),"")</f>
        <v>0</v>
      </c>
      <c r="K69" s="37" t="str">
        <f>IFERROR((L69-J69)/J69,"")</f>
        <v/>
      </c>
      <c r="L69" s="36">
        <f>IFERROR(SUMPRODUCT(K66:K68,L66:L68),"")</f>
        <v>0</v>
      </c>
      <c r="M69" s="37" t="str">
        <f>IFERROR((N69-L69)/L69,"")</f>
        <v/>
      </c>
      <c r="N69" s="36">
        <f>IFERROR(SUMPRODUCT(M66:M68,N66:N68),"")</f>
        <v>0</v>
      </c>
      <c r="O69" s="37" t="str">
        <f>IFERROR((P69-N69)/N69,"")</f>
        <v/>
      </c>
      <c r="P69" s="36">
        <f>IFERROR(SUMPRODUCT(O66:O68,P66:P68),"")</f>
        <v>0</v>
      </c>
      <c r="Q69" s="37" t="str">
        <f>IFERROR((R69-P69)/P69,"")</f>
        <v/>
      </c>
      <c r="R69" s="36">
        <f>IFERROR(SUMPRODUCT(Q66:Q68,R66:R68),"")</f>
        <v>0</v>
      </c>
      <c r="S69" s="37" t="str">
        <f>IFERROR((T69-R69)/R69,"")</f>
        <v/>
      </c>
      <c r="T69" s="36">
        <f>IFERROR(SUMPRODUCT(S66:S68,T66:T68),"")</f>
        <v>0</v>
      </c>
      <c r="U69" s="37" t="str">
        <f>IFERROR((V69-T69)/T69,"")</f>
        <v/>
      </c>
      <c r="V69" s="36">
        <f>IFERROR(SUMPRODUCT(U66:U68,V66:V68),"")</f>
        <v>0</v>
      </c>
      <c r="W69" s="37" t="str">
        <f>IFERROR((X69-V69)/V69,"")</f>
        <v/>
      </c>
      <c r="X69" s="36">
        <f>IFERROR(SUMPRODUCT(W66:W68,X66:X68),"")</f>
        <v>0</v>
      </c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ht="24.0" customHeight="1">
      <c r="A71" s="16" t="s">
        <v>97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8"/>
    </row>
    <row r="72" ht="15.0" customHeight="1">
      <c r="A72" s="19" t="s">
        <v>27</v>
      </c>
      <c r="B72" s="19" t="s">
        <v>28</v>
      </c>
      <c r="C72" s="19" t="s">
        <v>29</v>
      </c>
      <c r="D72" s="19" t="s">
        <v>30</v>
      </c>
      <c r="E72" s="20" t="s">
        <v>31</v>
      </c>
      <c r="F72" s="18"/>
      <c r="G72" s="20" t="s">
        <v>32</v>
      </c>
      <c r="H72" s="18"/>
      <c r="I72" s="20" t="s">
        <v>33</v>
      </c>
      <c r="J72" s="18"/>
      <c r="K72" s="20" t="s">
        <v>34</v>
      </c>
      <c r="L72" s="18"/>
      <c r="M72" s="20" t="s">
        <v>35</v>
      </c>
      <c r="N72" s="18"/>
      <c r="O72" s="20" t="s">
        <v>36</v>
      </c>
      <c r="P72" s="18"/>
      <c r="Q72" s="20" t="s">
        <v>37</v>
      </c>
      <c r="R72" s="18"/>
      <c r="S72" s="20" t="s">
        <v>38</v>
      </c>
      <c r="T72" s="18"/>
      <c r="U72" s="20" t="s">
        <v>39</v>
      </c>
      <c r="V72" s="18"/>
      <c r="W72" s="20" t="s">
        <v>40</v>
      </c>
      <c r="X72" s="18"/>
    </row>
    <row r="73" ht="15.0" customHeight="1">
      <c r="A73" s="21"/>
      <c r="B73" s="21"/>
      <c r="C73" s="21"/>
      <c r="D73" s="21"/>
      <c r="E73" s="22" t="s">
        <v>41</v>
      </c>
      <c r="F73" s="22" t="s">
        <v>42</v>
      </c>
      <c r="G73" s="22" t="s">
        <v>41</v>
      </c>
      <c r="H73" s="22" t="s">
        <v>42</v>
      </c>
      <c r="I73" s="22" t="s">
        <v>41</v>
      </c>
      <c r="J73" s="22" t="s">
        <v>42</v>
      </c>
      <c r="K73" s="22" t="s">
        <v>41</v>
      </c>
      <c r="L73" s="22" t="s">
        <v>42</v>
      </c>
      <c r="M73" s="22" t="s">
        <v>41</v>
      </c>
      <c r="N73" s="22" t="s">
        <v>42</v>
      </c>
      <c r="O73" s="22" t="s">
        <v>41</v>
      </c>
      <c r="P73" s="22" t="s">
        <v>42</v>
      </c>
      <c r="Q73" s="22" t="s">
        <v>41</v>
      </c>
      <c r="R73" s="22" t="s">
        <v>42</v>
      </c>
      <c r="S73" s="22" t="s">
        <v>41</v>
      </c>
      <c r="T73" s="22" t="s">
        <v>42</v>
      </c>
      <c r="U73" s="22" t="s">
        <v>41</v>
      </c>
      <c r="V73" s="22" t="s">
        <v>42</v>
      </c>
      <c r="W73" s="22" t="s">
        <v>41</v>
      </c>
      <c r="X73" s="22" t="s">
        <v>42</v>
      </c>
    </row>
    <row r="74" ht="15.0" customHeight="1">
      <c r="A74" s="27" t="s">
        <v>50</v>
      </c>
      <c r="B74" s="7" t="s">
        <v>51</v>
      </c>
      <c r="C74" s="7" t="s">
        <v>63</v>
      </c>
      <c r="D74" s="30"/>
      <c r="E74" s="32">
        <v>35.0</v>
      </c>
      <c r="F74" s="32">
        <v>12.0</v>
      </c>
      <c r="G74" s="32">
        <v>40.0</v>
      </c>
      <c r="H74" s="32">
        <v>10.0</v>
      </c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</row>
    <row r="75" ht="15.0" customHeight="1">
      <c r="A75" s="27" t="s">
        <v>52</v>
      </c>
      <c r="B75" s="7" t="s">
        <v>54</v>
      </c>
      <c r="C75" s="7" t="s">
        <v>58</v>
      </c>
      <c r="D75" s="30"/>
      <c r="E75" s="32">
        <v>40.0</v>
      </c>
      <c r="F75" s="32">
        <v>8.0</v>
      </c>
      <c r="G75" s="32">
        <v>40.0</v>
      </c>
      <c r="H75" s="32">
        <v>10.0</v>
      </c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</row>
    <row r="76" ht="32.25" customHeight="1">
      <c r="A76" s="33" t="s">
        <v>55</v>
      </c>
      <c r="B76" s="34"/>
      <c r="C76" s="34"/>
      <c r="D76" s="34"/>
      <c r="E76" s="33">
        <f>IFERROR(SUMPRODUCT(E74:E75,F74:F75),"")</f>
        <v>740</v>
      </c>
      <c r="F76" s="34"/>
      <c r="G76" s="33">
        <f>IFERROR(SUMPRODUCT(G74:G75,H74:H75),"")</f>
        <v>800</v>
      </c>
      <c r="H76" s="41">
        <f>IFERROR((G76-E76)/E76,"")</f>
        <v>0.08108108108</v>
      </c>
      <c r="I76" s="33">
        <f>IFERROR(SUMPRODUCT(I74:I75,J74:J75),"")</f>
        <v>0</v>
      </c>
      <c r="J76" s="41">
        <f>IFERROR((I76-G76)/G76,"")</f>
        <v>-1</v>
      </c>
      <c r="K76" s="33">
        <f>IFERROR(SUMPRODUCT(K74:K75,L74:L75),"")</f>
        <v>0</v>
      </c>
      <c r="L76" s="41" t="str">
        <f>IFERROR((K76-I76)/I76,"")</f>
        <v/>
      </c>
      <c r="M76" s="33">
        <f>IFERROR(SUMPRODUCT(M74:M75,N74:N75),"")</f>
        <v>0</v>
      </c>
      <c r="N76" s="41" t="str">
        <f>IFERROR((M76-K76)/K76,"")</f>
        <v/>
      </c>
      <c r="O76" s="33">
        <f>IFERROR(SUMPRODUCT(O74:O75,P74:P75),"")</f>
        <v>0</v>
      </c>
      <c r="P76" s="41" t="str">
        <f>IFERROR((O76-M76)/M76,"")</f>
        <v/>
      </c>
      <c r="Q76" s="33">
        <f>IFERROR(SUMPRODUCT(Q74:Q75,R74:R75),"")</f>
        <v>0</v>
      </c>
      <c r="R76" s="41" t="str">
        <f>IFERROR((Q76-O76)/O76,"")</f>
        <v/>
      </c>
      <c r="S76" s="33">
        <f>IFERROR(SUMPRODUCT(S74:S75,T74:T75),"")</f>
        <v>0</v>
      </c>
      <c r="T76" s="41" t="str">
        <f>IFERROR((S76-Q76)/Q76,"")</f>
        <v/>
      </c>
      <c r="U76" s="33">
        <f>IFERROR(SUMPRODUCT(U74:U75,V74:V75),"")</f>
        <v>0</v>
      </c>
      <c r="V76" s="41" t="str">
        <f>IFERROR((U76-S76)/S76,"")</f>
        <v/>
      </c>
      <c r="W76" s="33">
        <f>IFERROR(SUMPRODUCT(W74:W75,X74:X75),"")</f>
        <v>0</v>
      </c>
      <c r="X76" s="41" t="str">
        <f>IFERROR((W76-U76)/U76,"")</f>
        <v/>
      </c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</sheetData>
  <mergeCells count="113">
    <mergeCell ref="S38:T38"/>
    <mergeCell ref="U38:V38"/>
    <mergeCell ref="E38:F38"/>
    <mergeCell ref="A31:A32"/>
    <mergeCell ref="B31:B32"/>
    <mergeCell ref="C31:C32"/>
    <mergeCell ref="D31:D32"/>
    <mergeCell ref="W31:X31"/>
    <mergeCell ref="A37:X37"/>
    <mergeCell ref="G38:H38"/>
    <mergeCell ref="I38:J38"/>
    <mergeCell ref="K38:L38"/>
    <mergeCell ref="M38:N38"/>
    <mergeCell ref="W38:X38"/>
    <mergeCell ref="A22:A23"/>
    <mergeCell ref="B22:B23"/>
    <mergeCell ref="C22:C23"/>
    <mergeCell ref="D22:D23"/>
    <mergeCell ref="W22:X22"/>
    <mergeCell ref="A30:X30"/>
    <mergeCell ref="E31:F31"/>
    <mergeCell ref="G31:H31"/>
    <mergeCell ref="I31:J31"/>
    <mergeCell ref="K31:L31"/>
    <mergeCell ref="M31:N31"/>
    <mergeCell ref="Q45:R45"/>
    <mergeCell ref="S45:T45"/>
    <mergeCell ref="U45:V45"/>
    <mergeCell ref="W45:X45"/>
    <mergeCell ref="A38:A39"/>
    <mergeCell ref="B38:B39"/>
    <mergeCell ref="C38:C39"/>
    <mergeCell ref="D38:D39"/>
    <mergeCell ref="O38:P38"/>
    <mergeCell ref="Q38:R38"/>
    <mergeCell ref="A44:X44"/>
    <mergeCell ref="E45:F45"/>
    <mergeCell ref="G45:H45"/>
    <mergeCell ref="I45:J45"/>
    <mergeCell ref="K45:L45"/>
    <mergeCell ref="Q55:R55"/>
    <mergeCell ref="S55:T55"/>
    <mergeCell ref="U55:V55"/>
    <mergeCell ref="W55:X55"/>
    <mergeCell ref="A45:A46"/>
    <mergeCell ref="B45:B46"/>
    <mergeCell ref="C45:C46"/>
    <mergeCell ref="D45:D46"/>
    <mergeCell ref="M45:N45"/>
    <mergeCell ref="O45:P45"/>
    <mergeCell ref="A54:X54"/>
    <mergeCell ref="E55:F55"/>
    <mergeCell ref="G55:H55"/>
    <mergeCell ref="I55:J55"/>
    <mergeCell ref="K55:L55"/>
    <mergeCell ref="Q64:R64"/>
    <mergeCell ref="S64:T64"/>
    <mergeCell ref="U64:V64"/>
    <mergeCell ref="W64:X64"/>
    <mergeCell ref="A55:A56"/>
    <mergeCell ref="B55:B56"/>
    <mergeCell ref="C55:C56"/>
    <mergeCell ref="D55:D56"/>
    <mergeCell ref="M55:N55"/>
    <mergeCell ref="O55:P55"/>
    <mergeCell ref="A63:X63"/>
    <mergeCell ref="E64:F64"/>
    <mergeCell ref="G64:H64"/>
    <mergeCell ref="I64:J64"/>
    <mergeCell ref="K64:L64"/>
    <mergeCell ref="Q72:R72"/>
    <mergeCell ref="S72:T72"/>
    <mergeCell ref="U72:V72"/>
    <mergeCell ref="W72:X72"/>
    <mergeCell ref="A64:A65"/>
    <mergeCell ref="B64:B65"/>
    <mergeCell ref="C64:C65"/>
    <mergeCell ref="D64:D65"/>
    <mergeCell ref="M64:N64"/>
    <mergeCell ref="O64:P64"/>
    <mergeCell ref="A71:X71"/>
    <mergeCell ref="E72:F72"/>
    <mergeCell ref="G72:H72"/>
    <mergeCell ref="I72:J72"/>
    <mergeCell ref="K72:L72"/>
    <mergeCell ref="A1:X1"/>
    <mergeCell ref="A2:X2"/>
    <mergeCell ref="A14:C14"/>
    <mergeCell ref="A15:B15"/>
    <mergeCell ref="A16:B16"/>
    <mergeCell ref="A17:B17"/>
    <mergeCell ref="A18:B18"/>
    <mergeCell ref="O22:P22"/>
    <mergeCell ref="Q22:R22"/>
    <mergeCell ref="S22:T22"/>
    <mergeCell ref="U22:V22"/>
    <mergeCell ref="A19:B19"/>
    <mergeCell ref="A21:X21"/>
    <mergeCell ref="E22:F22"/>
    <mergeCell ref="G22:H22"/>
    <mergeCell ref="I22:J22"/>
    <mergeCell ref="K22:L22"/>
    <mergeCell ref="M22:N22"/>
    <mergeCell ref="O31:P31"/>
    <mergeCell ref="Q31:R31"/>
    <mergeCell ref="S31:T31"/>
    <mergeCell ref="U31:V31"/>
    <mergeCell ref="M72:N72"/>
    <mergeCell ref="O72:P72"/>
    <mergeCell ref="A72:A73"/>
    <mergeCell ref="B72:B73"/>
    <mergeCell ref="C72:C73"/>
    <mergeCell ref="D72:D7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9" width="8.71"/>
  </cols>
  <sheetData>
    <row r="1" ht="17.25" customHeight="1">
      <c r="A1" s="42" t="s">
        <v>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ht="15.0" customHeight="1">
      <c r="A2" s="43" t="s">
        <v>99</v>
      </c>
      <c r="B2" s="44" t="s">
        <v>100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 ht="15.0" customHeight="1">
      <c r="A3" s="43" t="s">
        <v>101</v>
      </c>
      <c r="B3" s="45">
        <v>46027.0</v>
      </c>
      <c r="C3" s="45">
        <v>46034.0</v>
      </c>
      <c r="D3" s="45">
        <v>46041.0</v>
      </c>
      <c r="E3" s="45">
        <v>46048.0</v>
      </c>
      <c r="F3" s="45">
        <v>46055.0</v>
      </c>
      <c r="G3" s="45">
        <v>46062.0</v>
      </c>
      <c r="H3" s="45">
        <v>46069.0</v>
      </c>
      <c r="I3" s="45">
        <v>46076.0</v>
      </c>
      <c r="J3" s="45">
        <v>46083.0</v>
      </c>
      <c r="K3" s="45">
        <v>46090.0</v>
      </c>
      <c r="L3" s="45">
        <v>46097.0</v>
      </c>
      <c r="M3" s="45">
        <v>46104.0</v>
      </c>
      <c r="N3" s="45">
        <v>46111.0</v>
      </c>
      <c r="O3" s="45">
        <v>46118.0</v>
      </c>
      <c r="P3" s="45">
        <v>46125.0</v>
      </c>
      <c r="Q3" s="45">
        <v>46132.0</v>
      </c>
      <c r="R3" s="45">
        <v>46139.0</v>
      </c>
      <c r="S3" s="45">
        <v>46146.0</v>
      </c>
      <c r="T3" s="45">
        <v>46153.0</v>
      </c>
      <c r="U3" s="45">
        <v>46160.0</v>
      </c>
      <c r="V3" s="45">
        <v>46167.0</v>
      </c>
      <c r="W3" s="45">
        <v>46174.0</v>
      </c>
      <c r="X3" s="45">
        <v>46181.0</v>
      </c>
      <c r="Y3" s="45">
        <v>46188.0</v>
      </c>
      <c r="Z3" s="45">
        <v>46195.0</v>
      </c>
      <c r="AA3" s="45">
        <v>46202.0</v>
      </c>
      <c r="AB3" s="45">
        <v>46209.0</v>
      </c>
      <c r="AC3" s="6"/>
    </row>
    <row r="4" ht="15.0" customHeight="1">
      <c r="A4" s="43" t="s">
        <v>102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 ht="15.0" customHeight="1">
      <c r="A5" s="43" t="s">
        <v>103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ht="15.0" customHeight="1">
      <c r="A6" s="43" t="s">
        <v>104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ht="15.0" customHeight="1">
      <c r="A7" s="43" t="s">
        <v>105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ht="15.0" customHeight="1">
      <c r="A8" s="43" t="s">
        <v>106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ht="15.0" customHeight="1">
      <c r="A9" s="43" t="s">
        <v>107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ht="15.0" customHeight="1">
      <c r="A10" s="43" t="s">
        <v>108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ht="15.0" customHeight="1">
      <c r="A11" s="43" t="s">
        <v>109</v>
      </c>
      <c r="B11" s="46">
        <v>0.0</v>
      </c>
      <c r="C11" s="46">
        <v>0.0</v>
      </c>
      <c r="D11" s="46">
        <v>0.0</v>
      </c>
      <c r="E11" s="46">
        <v>0.0</v>
      </c>
      <c r="F11" s="46">
        <v>0.0</v>
      </c>
      <c r="G11" s="46">
        <v>0.0</v>
      </c>
      <c r="H11" s="46">
        <v>0.0</v>
      </c>
      <c r="I11" s="46">
        <v>0.0</v>
      </c>
      <c r="J11" s="46">
        <v>0.0</v>
      </c>
      <c r="K11" s="46">
        <v>0.0</v>
      </c>
      <c r="L11" s="46">
        <v>0.0</v>
      </c>
      <c r="M11" s="46">
        <v>0.0</v>
      </c>
      <c r="N11" s="46">
        <v>0.0</v>
      </c>
      <c r="O11" s="46">
        <v>0.0</v>
      </c>
      <c r="P11" s="46">
        <v>0.0</v>
      </c>
      <c r="Q11" s="46">
        <v>0.0</v>
      </c>
      <c r="R11" s="46">
        <v>0.0</v>
      </c>
      <c r="S11" s="46">
        <v>0.0</v>
      </c>
      <c r="T11" s="46">
        <v>0.0</v>
      </c>
      <c r="U11" s="46">
        <v>0.0</v>
      </c>
      <c r="V11" s="46">
        <v>0.0</v>
      </c>
      <c r="W11" s="46">
        <v>0.0</v>
      </c>
      <c r="X11" s="46">
        <v>0.0</v>
      </c>
      <c r="Y11" s="46">
        <v>0.0</v>
      </c>
      <c r="Z11" s="46">
        <v>0.0</v>
      </c>
      <c r="AA11" s="46">
        <v>0.0</v>
      </c>
      <c r="AB11" s="46">
        <v>0.0</v>
      </c>
      <c r="AC11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>
      <c r="A1" s="42" t="s">
        <v>110</v>
      </c>
      <c r="B1" s="6"/>
      <c r="C1" s="6"/>
      <c r="D1" s="6"/>
      <c r="E1" s="6"/>
      <c r="F1" s="6"/>
      <c r="G1" s="6"/>
      <c r="H1" s="6"/>
      <c r="I1" s="6"/>
    </row>
    <row r="2" ht="15.0" customHeight="1">
      <c r="A2" s="6"/>
      <c r="B2" s="6"/>
      <c r="C2" s="6"/>
      <c r="D2" s="6"/>
      <c r="E2" s="6"/>
      <c r="F2" s="6"/>
      <c r="G2" s="6"/>
      <c r="H2" s="6"/>
      <c r="I2" s="6"/>
    </row>
    <row r="3" ht="15.0" customHeight="1">
      <c r="A3" s="47" t="s">
        <v>111</v>
      </c>
      <c r="B3" s="6"/>
      <c r="C3" s="47" t="s">
        <v>112</v>
      </c>
      <c r="D3" s="6"/>
      <c r="E3" s="47" t="s">
        <v>113</v>
      </c>
      <c r="F3" s="6"/>
      <c r="G3" s="47" t="s">
        <v>114</v>
      </c>
      <c r="H3" s="6"/>
      <c r="I3" s="6"/>
    </row>
    <row r="4" ht="15.0" customHeight="1">
      <c r="A4" s="43" t="s">
        <v>2</v>
      </c>
      <c r="B4" s="43" t="s">
        <v>115</v>
      </c>
      <c r="C4" s="43" t="s">
        <v>2</v>
      </c>
      <c r="D4" s="43" t="s">
        <v>115</v>
      </c>
      <c r="E4" s="43" t="s">
        <v>2</v>
      </c>
      <c r="F4" s="43" t="s">
        <v>115</v>
      </c>
      <c r="G4" s="43" t="s">
        <v>2</v>
      </c>
      <c r="H4" s="43" t="s">
        <v>115</v>
      </c>
      <c r="I4" s="6"/>
    </row>
    <row r="5" ht="15.0" customHeight="1">
      <c r="A5" s="44" t="s">
        <v>116</v>
      </c>
      <c r="B5" s="44">
        <v>3.0</v>
      </c>
      <c r="C5" s="44" t="s">
        <v>117</v>
      </c>
      <c r="D5" s="44">
        <v>2.0</v>
      </c>
      <c r="E5" s="44" t="s">
        <v>118</v>
      </c>
      <c r="F5" s="44">
        <v>2.0</v>
      </c>
      <c r="G5" s="44" t="s">
        <v>119</v>
      </c>
      <c r="H5" s="44">
        <v>2.0</v>
      </c>
      <c r="I5" s="6"/>
    </row>
    <row r="6" ht="15.0" customHeight="1">
      <c r="A6" s="44" t="s">
        <v>120</v>
      </c>
      <c r="B6" s="44">
        <v>2.0</v>
      </c>
      <c r="C6" s="44" t="s">
        <v>121</v>
      </c>
      <c r="D6" s="44">
        <v>3.0</v>
      </c>
      <c r="E6" s="44" t="s">
        <v>122</v>
      </c>
      <c r="F6" s="44">
        <v>2.0</v>
      </c>
      <c r="G6" s="44" t="s">
        <v>123</v>
      </c>
      <c r="H6" s="44">
        <v>2.0</v>
      </c>
      <c r="I6" s="6"/>
    </row>
    <row r="7" ht="15.0" customHeight="1">
      <c r="A7" s="44" t="s">
        <v>124</v>
      </c>
      <c r="B7" s="44">
        <v>2.0</v>
      </c>
      <c r="C7" s="44" t="s">
        <v>125</v>
      </c>
      <c r="D7" s="44">
        <v>2.0</v>
      </c>
      <c r="E7" s="44" t="s">
        <v>126</v>
      </c>
      <c r="F7" s="44">
        <v>3.0</v>
      </c>
      <c r="G7" s="44" t="s">
        <v>127</v>
      </c>
      <c r="H7" s="44">
        <v>2.0</v>
      </c>
      <c r="I7" s="6"/>
    </row>
    <row r="8" ht="15.0" customHeight="1">
      <c r="A8" s="44" t="s">
        <v>128</v>
      </c>
      <c r="B8" s="44">
        <v>4.0</v>
      </c>
      <c r="C8" s="44" t="s">
        <v>123</v>
      </c>
      <c r="D8" s="44">
        <v>3.0</v>
      </c>
      <c r="E8" s="44" t="s">
        <v>129</v>
      </c>
      <c r="F8" s="44">
        <v>3.0</v>
      </c>
      <c r="G8" s="44" t="s">
        <v>130</v>
      </c>
      <c r="H8" s="44">
        <v>3.0</v>
      </c>
      <c r="I8" s="6"/>
    </row>
    <row r="9" ht="15.0" customHeight="1">
      <c r="A9" s="44" t="s">
        <v>131</v>
      </c>
      <c r="B9" s="44">
        <v>3.0</v>
      </c>
      <c r="C9" s="44" t="s">
        <v>127</v>
      </c>
      <c r="D9" s="44">
        <v>3.0</v>
      </c>
      <c r="E9" s="44" t="s">
        <v>132</v>
      </c>
      <c r="F9" s="44">
        <v>3.0</v>
      </c>
      <c r="G9" s="44" t="s">
        <v>133</v>
      </c>
      <c r="H9" s="44">
        <v>3.0</v>
      </c>
      <c r="I9" s="6"/>
    </row>
    <row r="10" ht="15.0" customHeight="1">
      <c r="A10" s="6"/>
      <c r="B10" s="6"/>
      <c r="C10" s="44" t="s">
        <v>134</v>
      </c>
      <c r="D10" s="44">
        <v>3.0</v>
      </c>
      <c r="E10" s="6"/>
      <c r="F10" s="6"/>
      <c r="G10" s="44" t="s">
        <v>135</v>
      </c>
      <c r="H10" s="44">
        <v>3.0</v>
      </c>
      <c r="I10" s="6"/>
    </row>
    <row r="11" ht="15.0" customHeight="1">
      <c r="A11" s="6"/>
      <c r="B11" s="6"/>
      <c r="C11" s="44" t="s">
        <v>136</v>
      </c>
      <c r="D11" s="44">
        <v>2.0</v>
      </c>
      <c r="E11" s="6"/>
      <c r="F11" s="6"/>
      <c r="G11" s="44" t="s">
        <v>137</v>
      </c>
      <c r="H11" s="44">
        <v>2.0</v>
      </c>
      <c r="I11" s="6"/>
    </row>
    <row r="12" ht="15.0" customHeight="1">
      <c r="A12" s="6"/>
      <c r="B12" s="6"/>
      <c r="C12" s="6"/>
      <c r="D12" s="6"/>
      <c r="E12" s="6"/>
      <c r="F12" s="6"/>
      <c r="G12" s="6"/>
      <c r="H12" s="6"/>
      <c r="I12" s="6"/>
    </row>
    <row r="13" ht="15.0" customHeight="1">
      <c r="A13" s="6"/>
      <c r="B13" s="6"/>
      <c r="C13" s="6"/>
      <c r="D13" s="6"/>
      <c r="E13" s="6"/>
      <c r="F13" s="6"/>
      <c r="G13" s="6"/>
      <c r="H13" s="6"/>
      <c r="I13" s="6"/>
    </row>
    <row r="14" ht="15.0" customHeight="1">
      <c r="A14" s="48" t="s">
        <v>138</v>
      </c>
      <c r="B14" s="6"/>
      <c r="C14" s="6"/>
      <c r="D14" s="6"/>
      <c r="E14" s="6"/>
      <c r="F14" s="6"/>
      <c r="G14" s="6"/>
      <c r="H14" s="6"/>
      <c r="I14" s="6"/>
    </row>
    <row r="15" ht="15.0" customHeight="1">
      <c r="A15" s="43" t="s">
        <v>139</v>
      </c>
      <c r="B15" s="44" t="s">
        <v>140</v>
      </c>
      <c r="C15" s="6"/>
      <c r="D15" s="6"/>
      <c r="E15" s="6"/>
      <c r="F15" s="6"/>
      <c r="G15" s="6"/>
      <c r="H15" s="6"/>
      <c r="I15" s="6"/>
    </row>
    <row r="16" ht="15.0" customHeight="1">
      <c r="A16" s="43" t="s">
        <v>141</v>
      </c>
      <c r="B16" s="44" t="s">
        <v>142</v>
      </c>
      <c r="C16" s="6"/>
      <c r="D16" s="6"/>
      <c r="E16" s="6"/>
      <c r="F16" s="6"/>
      <c r="G16" s="6"/>
      <c r="H16" s="6"/>
      <c r="I16" s="6"/>
    </row>
    <row r="17" ht="15.0" customHeight="1">
      <c r="A17" s="43" t="s">
        <v>143</v>
      </c>
      <c r="B17" s="44" t="s">
        <v>144</v>
      </c>
      <c r="C17" s="6"/>
      <c r="D17" s="6"/>
      <c r="E17" s="6"/>
      <c r="F17" s="6"/>
      <c r="G17" s="6"/>
      <c r="H17" s="6"/>
      <c r="I17" s="6"/>
    </row>
    <row r="18" ht="15.0" customHeight="1">
      <c r="A18" s="43" t="s">
        <v>145</v>
      </c>
      <c r="B18" s="44" t="s">
        <v>146</v>
      </c>
      <c r="C18" s="6"/>
      <c r="D18" s="6"/>
      <c r="E18" s="6"/>
      <c r="F18" s="6"/>
      <c r="G18" s="6"/>
      <c r="H18" s="6"/>
      <c r="I18" s="6"/>
    </row>
    <row r="19" ht="15.0" customHeight="1">
      <c r="A19" s="43" t="s">
        <v>147</v>
      </c>
      <c r="B19" s="44" t="s">
        <v>148</v>
      </c>
      <c r="C19" s="6"/>
      <c r="D19" s="6"/>
      <c r="E19" s="6"/>
      <c r="F19" s="6"/>
      <c r="G19" s="6"/>
      <c r="H19" s="6"/>
      <c r="I19" s="6"/>
    </row>
    <row r="20" ht="15.0" customHeight="1">
      <c r="A20" s="43" t="s">
        <v>149</v>
      </c>
      <c r="B20" s="44" t="s">
        <v>150</v>
      </c>
      <c r="C20" s="6"/>
      <c r="D20" s="6"/>
      <c r="E20" s="6"/>
      <c r="F20" s="6"/>
      <c r="G20" s="6"/>
      <c r="H20" s="6"/>
      <c r="I20" s="6"/>
    </row>
    <row r="21" ht="15.0" customHeight="1">
      <c r="A21" s="43" t="s">
        <v>151</v>
      </c>
      <c r="B21" s="44" t="s">
        <v>152</v>
      </c>
      <c r="C21" s="6"/>
      <c r="D21" s="6"/>
      <c r="E21" s="6"/>
      <c r="F21" s="6"/>
      <c r="G21" s="6"/>
      <c r="H21" s="6"/>
      <c r="I21" s="6"/>
    </row>
    <row r="22" ht="15.0" customHeight="1">
      <c r="A22" s="43" t="s">
        <v>153</v>
      </c>
      <c r="B22" s="44" t="s">
        <v>154</v>
      </c>
      <c r="C22" s="6"/>
      <c r="D22" s="6"/>
      <c r="E22" s="6"/>
      <c r="F22" s="6"/>
      <c r="G22" s="6"/>
      <c r="H22" s="6"/>
      <c r="I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>
      <c r="A1" s="42" t="s">
        <v>155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ht="15.0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ht="15.0" customHeight="1">
      <c r="A3" s="43" t="s">
        <v>156</v>
      </c>
      <c r="B3" s="43" t="s">
        <v>157</v>
      </c>
      <c r="C3" s="45">
        <v>46027.0</v>
      </c>
      <c r="D3" s="45">
        <v>46034.0</v>
      </c>
      <c r="E3" s="45">
        <v>46041.0</v>
      </c>
      <c r="F3" s="45">
        <v>46048.0</v>
      </c>
      <c r="G3" s="45">
        <v>46055.0</v>
      </c>
      <c r="H3" s="45">
        <v>46062.0</v>
      </c>
      <c r="I3" s="45">
        <v>46069.0</v>
      </c>
      <c r="J3" s="45">
        <v>46076.0</v>
      </c>
      <c r="K3" s="45">
        <v>46083.0</v>
      </c>
      <c r="L3" s="45">
        <v>46090.0</v>
      </c>
      <c r="M3" s="45">
        <v>46097.0</v>
      </c>
      <c r="N3" s="45">
        <v>46104.0</v>
      </c>
      <c r="O3" s="45">
        <v>46111.0</v>
      </c>
      <c r="P3" s="45">
        <v>46118.0</v>
      </c>
      <c r="Q3" s="45">
        <v>46125.0</v>
      </c>
      <c r="R3" s="6"/>
      <c r="S3" s="6"/>
    </row>
    <row r="4" ht="15.0" customHeight="1">
      <c r="A4" s="43" t="s">
        <v>158</v>
      </c>
      <c r="B4" s="6"/>
      <c r="C4" s="43" t="s">
        <v>159</v>
      </c>
      <c r="D4" s="6"/>
      <c r="E4" s="6"/>
      <c r="F4" s="6"/>
      <c r="G4" s="43" t="s">
        <v>160</v>
      </c>
      <c r="H4" s="6"/>
      <c r="I4" s="6"/>
      <c r="J4" s="6"/>
      <c r="K4" s="6"/>
      <c r="L4" s="6"/>
      <c r="M4" s="43" t="s">
        <v>161</v>
      </c>
      <c r="N4" s="6"/>
      <c r="O4" s="6"/>
      <c r="P4" s="6"/>
      <c r="Q4" s="6"/>
      <c r="R4" s="6"/>
      <c r="S4" s="6"/>
    </row>
    <row r="5" ht="15.0" customHeight="1">
      <c r="A5" s="43" t="s">
        <v>162</v>
      </c>
      <c r="B5" s="44" t="s">
        <v>163</v>
      </c>
      <c r="C5" s="44" t="s">
        <v>163</v>
      </c>
      <c r="D5" s="44" t="s">
        <v>163</v>
      </c>
      <c r="E5" s="44" t="s">
        <v>163</v>
      </c>
      <c r="F5" s="44" t="s">
        <v>163</v>
      </c>
      <c r="G5" s="44" t="s">
        <v>164</v>
      </c>
      <c r="H5" s="44" t="s">
        <v>164</v>
      </c>
      <c r="I5" s="44" t="s">
        <v>164</v>
      </c>
      <c r="J5" s="44" t="s">
        <v>164</v>
      </c>
      <c r="K5" s="44" t="s">
        <v>164</v>
      </c>
      <c r="L5" s="44" t="s">
        <v>164</v>
      </c>
      <c r="M5" s="44" t="s">
        <v>163</v>
      </c>
      <c r="N5" s="44" t="s">
        <v>163</v>
      </c>
      <c r="O5" s="44" t="s">
        <v>44</v>
      </c>
      <c r="P5" s="44" t="s">
        <v>44</v>
      </c>
      <c r="Q5" s="44"/>
      <c r="R5" s="6"/>
      <c r="S5" s="6"/>
    </row>
    <row r="6" ht="15.0" customHeight="1">
      <c r="A6" s="43" t="s">
        <v>165</v>
      </c>
      <c r="B6" s="44">
        <v>11.0</v>
      </c>
      <c r="C6" s="44">
        <v>10.0</v>
      </c>
      <c r="D6" s="44">
        <v>10.0</v>
      </c>
      <c r="E6" s="44">
        <v>10.0</v>
      </c>
      <c r="F6" s="44">
        <v>10.0</v>
      </c>
      <c r="G6" s="44">
        <v>10.0</v>
      </c>
      <c r="H6" s="44">
        <v>10.0</v>
      </c>
      <c r="I6" s="44">
        <v>10.0</v>
      </c>
      <c r="J6" s="44">
        <v>8.0</v>
      </c>
      <c r="K6" s="44">
        <v>8.0</v>
      </c>
      <c r="L6" s="44">
        <v>8.0</v>
      </c>
      <c r="M6" s="44">
        <v>10.0</v>
      </c>
      <c r="N6" s="44">
        <v>10.0</v>
      </c>
      <c r="O6" s="44">
        <v>10.0</v>
      </c>
      <c r="P6" s="44">
        <v>10.0</v>
      </c>
      <c r="Q6" s="44"/>
      <c r="R6" s="6"/>
      <c r="S6" s="6"/>
    </row>
    <row r="7" ht="15.0" customHeight="1">
      <c r="A7" s="43" t="s">
        <v>166</v>
      </c>
      <c r="B7" s="44">
        <v>7.0</v>
      </c>
      <c r="C7" s="44">
        <v>8.0</v>
      </c>
      <c r="D7" s="44">
        <v>8.0</v>
      </c>
      <c r="E7" s="44">
        <v>8.0</v>
      </c>
      <c r="F7" s="44">
        <v>8.0</v>
      </c>
      <c r="G7" s="44">
        <v>8.0</v>
      </c>
      <c r="H7" s="44">
        <v>8.0</v>
      </c>
      <c r="I7" s="44">
        <v>8.0</v>
      </c>
      <c r="J7" s="44">
        <v>8.0</v>
      </c>
      <c r="K7" s="44">
        <v>8.0</v>
      </c>
      <c r="L7" s="44">
        <v>8.0</v>
      </c>
      <c r="M7" s="44">
        <v>8.0</v>
      </c>
      <c r="N7" s="44">
        <v>8.0</v>
      </c>
      <c r="O7" s="44">
        <v>8.0</v>
      </c>
      <c r="P7" s="44">
        <v>8.0</v>
      </c>
      <c r="Q7" s="44"/>
      <c r="R7" s="6"/>
      <c r="S7" s="6"/>
    </row>
    <row r="8" ht="15.0" customHeight="1">
      <c r="A8" s="43" t="s">
        <v>167</v>
      </c>
      <c r="B8" s="44">
        <v>14.0</v>
      </c>
      <c r="C8" s="44">
        <v>12.0</v>
      </c>
      <c r="D8" s="44">
        <v>12.0</v>
      </c>
      <c r="E8" s="44">
        <v>12.0</v>
      </c>
      <c r="F8" s="44">
        <v>12.0</v>
      </c>
      <c r="G8" s="44">
        <v>12.0</v>
      </c>
      <c r="H8" s="44">
        <v>12.0</v>
      </c>
      <c r="I8" s="44">
        <v>12.0</v>
      </c>
      <c r="J8" s="44">
        <v>12.0</v>
      </c>
      <c r="K8" s="44">
        <v>12.0</v>
      </c>
      <c r="L8" s="44">
        <v>12.0</v>
      </c>
      <c r="M8" s="44">
        <v>12.0</v>
      </c>
      <c r="N8" s="44">
        <v>12.0</v>
      </c>
      <c r="O8" s="44">
        <v>12.0</v>
      </c>
      <c r="P8" s="44">
        <v>12.0</v>
      </c>
      <c r="Q8" s="44"/>
      <c r="R8" s="6"/>
      <c r="S8" s="6"/>
    </row>
    <row r="9" ht="15.0" customHeight="1">
      <c r="A9" s="43" t="s">
        <v>168</v>
      </c>
      <c r="B9" s="44">
        <v>2.0</v>
      </c>
      <c r="C9" s="44">
        <v>6.0</v>
      </c>
      <c r="D9" s="44">
        <v>6.0</v>
      </c>
      <c r="E9" s="44">
        <v>6.0</v>
      </c>
      <c r="F9" s="44">
        <v>6.0</v>
      </c>
      <c r="G9" s="44">
        <v>6.0</v>
      </c>
      <c r="H9" s="44">
        <v>6.0</v>
      </c>
      <c r="I9" s="44">
        <v>6.0</v>
      </c>
      <c r="J9" s="44">
        <v>6.0</v>
      </c>
      <c r="K9" s="44">
        <v>6.0</v>
      </c>
      <c r="L9" s="44">
        <v>6.0</v>
      </c>
      <c r="M9" s="44">
        <v>6.0</v>
      </c>
      <c r="N9" s="44">
        <v>6.0</v>
      </c>
      <c r="O9" s="44">
        <v>6.0</v>
      </c>
      <c r="P9" s="44">
        <v>6.0</v>
      </c>
      <c r="Q9" s="44"/>
      <c r="R9" s="6"/>
      <c r="S9" s="6"/>
    </row>
    <row r="10" ht="15.0" customHeight="1">
      <c r="A10" s="43" t="s">
        <v>169</v>
      </c>
      <c r="B10" s="44">
        <v>12.0</v>
      </c>
      <c r="C10" s="44">
        <v>10.0</v>
      </c>
      <c r="D10" s="44">
        <v>10.0</v>
      </c>
      <c r="E10" s="44">
        <v>10.0</v>
      </c>
      <c r="F10" s="44">
        <v>10.0</v>
      </c>
      <c r="G10" s="44">
        <v>10.0</v>
      </c>
      <c r="H10" s="44">
        <v>10.0</v>
      </c>
      <c r="I10" s="44">
        <v>10.0</v>
      </c>
      <c r="J10" s="44">
        <v>10.0</v>
      </c>
      <c r="K10" s="44">
        <v>10.0</v>
      </c>
      <c r="L10" s="44">
        <v>10.0</v>
      </c>
      <c r="M10" s="44">
        <v>14.0</v>
      </c>
      <c r="N10" s="44">
        <v>14.0</v>
      </c>
      <c r="O10" s="44">
        <v>14.0</v>
      </c>
      <c r="P10" s="44">
        <v>14.0</v>
      </c>
      <c r="Q10" s="44"/>
      <c r="R10" s="6"/>
      <c r="S10" s="6"/>
    </row>
    <row r="11" ht="15.0" customHeight="1">
      <c r="A11" s="43" t="s">
        <v>170</v>
      </c>
      <c r="B11" s="44">
        <v>13.0</v>
      </c>
      <c r="C11" s="44">
        <v>10.0</v>
      </c>
      <c r="D11" s="44">
        <v>10.0</v>
      </c>
      <c r="E11" s="44">
        <v>10.0</v>
      </c>
      <c r="F11" s="44">
        <v>10.0</v>
      </c>
      <c r="G11" s="44">
        <v>10.0</v>
      </c>
      <c r="H11" s="44">
        <v>10.0</v>
      </c>
      <c r="I11" s="44">
        <v>10.0</v>
      </c>
      <c r="J11" s="44">
        <v>8.0</v>
      </c>
      <c r="K11" s="44">
        <v>10.0</v>
      </c>
      <c r="L11" s="44">
        <v>10.0</v>
      </c>
      <c r="M11" s="44">
        <v>14.0</v>
      </c>
      <c r="N11" s="44">
        <v>14.0</v>
      </c>
      <c r="O11" s="44">
        <v>14.0</v>
      </c>
      <c r="P11" s="44">
        <v>14.0</v>
      </c>
      <c r="Q11" s="44"/>
      <c r="R11" s="6"/>
      <c r="S11" s="6"/>
    </row>
    <row r="12" ht="15.0" customHeight="1">
      <c r="A12" s="43" t="s">
        <v>171</v>
      </c>
      <c r="B12" s="44">
        <v>10.0</v>
      </c>
      <c r="C12" s="44">
        <v>10.0</v>
      </c>
      <c r="D12" s="44">
        <v>10.0</v>
      </c>
      <c r="E12" s="44">
        <v>10.0</v>
      </c>
      <c r="F12" s="44">
        <v>10.0</v>
      </c>
      <c r="G12" s="44">
        <v>10.0</v>
      </c>
      <c r="H12" s="44">
        <v>10.0</v>
      </c>
      <c r="I12" s="44">
        <v>10.0</v>
      </c>
      <c r="J12" s="44">
        <v>10.0</v>
      </c>
      <c r="K12" s="44">
        <v>10.0</v>
      </c>
      <c r="L12" s="44">
        <v>10.0</v>
      </c>
      <c r="M12" s="44">
        <v>12.0</v>
      </c>
      <c r="N12" s="44">
        <v>12.0</v>
      </c>
      <c r="O12" s="44">
        <v>12.0</v>
      </c>
      <c r="P12" s="44">
        <v>12.0</v>
      </c>
      <c r="Q12" s="44"/>
      <c r="R12" s="6"/>
      <c r="S12" s="6"/>
    </row>
    <row r="13" ht="15.0" customHeight="1">
      <c r="A13" s="43" t="s">
        <v>172</v>
      </c>
      <c r="B13" s="44">
        <v>7.0</v>
      </c>
      <c r="C13" s="44">
        <v>10.0</v>
      </c>
      <c r="D13" s="44">
        <v>10.0</v>
      </c>
      <c r="E13" s="44">
        <v>10.0</v>
      </c>
      <c r="F13" s="44">
        <v>10.0</v>
      </c>
      <c r="G13" s="44">
        <v>10.0</v>
      </c>
      <c r="H13" s="44">
        <v>10.0</v>
      </c>
      <c r="I13" s="44">
        <v>10.0</v>
      </c>
      <c r="J13" s="44">
        <v>10.0</v>
      </c>
      <c r="K13" s="44">
        <v>10.0</v>
      </c>
      <c r="L13" s="44">
        <v>10.0</v>
      </c>
      <c r="M13" s="44">
        <v>12.0</v>
      </c>
      <c r="N13" s="44">
        <v>12.0</v>
      </c>
      <c r="O13" s="44">
        <v>12.0</v>
      </c>
      <c r="P13" s="44">
        <v>12.0</v>
      </c>
      <c r="Q13" s="44"/>
      <c r="R13" s="6"/>
      <c r="S13" s="6"/>
    </row>
    <row r="14" ht="15.0" customHeight="1">
      <c r="A14" s="43" t="s">
        <v>173</v>
      </c>
      <c r="B14" s="44">
        <v>9.0</v>
      </c>
      <c r="C14" s="44">
        <v>10.0</v>
      </c>
      <c r="D14" s="44">
        <v>10.0</v>
      </c>
      <c r="E14" s="44">
        <v>10.0</v>
      </c>
      <c r="F14" s="44">
        <v>10.0</v>
      </c>
      <c r="G14" s="44">
        <v>10.0</v>
      </c>
      <c r="H14" s="44">
        <v>10.0</v>
      </c>
      <c r="I14" s="44">
        <v>10.0</v>
      </c>
      <c r="J14" s="44">
        <v>10.0</v>
      </c>
      <c r="K14" s="44">
        <v>10.0</v>
      </c>
      <c r="L14" s="44">
        <v>10.0</v>
      </c>
      <c r="M14" s="44">
        <v>12.0</v>
      </c>
      <c r="N14" s="44">
        <v>12.0</v>
      </c>
      <c r="O14" s="44">
        <v>12.0</v>
      </c>
      <c r="P14" s="44">
        <v>12.0</v>
      </c>
      <c r="Q14" s="44"/>
      <c r="R14" s="6"/>
      <c r="S14" s="6"/>
    </row>
    <row r="15" ht="15.0" customHeight="1">
      <c r="A15" s="43" t="s">
        <v>174</v>
      </c>
      <c r="B15" s="44">
        <v>12.0</v>
      </c>
      <c r="C15" s="44">
        <v>10.0</v>
      </c>
      <c r="D15" s="44">
        <v>10.0</v>
      </c>
      <c r="E15" s="44">
        <v>10.0</v>
      </c>
      <c r="F15" s="44">
        <v>10.0</v>
      </c>
      <c r="G15" s="44">
        <v>10.0</v>
      </c>
      <c r="H15" s="44">
        <v>10.0</v>
      </c>
      <c r="I15" s="44">
        <v>10.0</v>
      </c>
      <c r="J15" s="44">
        <v>10.0</v>
      </c>
      <c r="K15" s="44">
        <v>10.0</v>
      </c>
      <c r="L15" s="44">
        <v>10.0</v>
      </c>
      <c r="M15" s="44">
        <v>12.0</v>
      </c>
      <c r="N15" s="44">
        <v>12.0</v>
      </c>
      <c r="O15" s="44">
        <v>12.0</v>
      </c>
      <c r="P15" s="44">
        <v>12.0</v>
      </c>
      <c r="Q15" s="44"/>
      <c r="R15" s="6"/>
      <c r="S15" s="6"/>
    </row>
    <row r="16" ht="15.0" customHeight="1">
      <c r="A16" s="43" t="s">
        <v>175</v>
      </c>
      <c r="B16" s="44">
        <v>11.0</v>
      </c>
      <c r="C16" s="44">
        <v>10.0</v>
      </c>
      <c r="D16" s="44">
        <v>10.0</v>
      </c>
      <c r="E16" s="44">
        <v>10.0</v>
      </c>
      <c r="F16" s="44">
        <v>10.0</v>
      </c>
      <c r="G16" s="44">
        <v>10.0</v>
      </c>
      <c r="H16" s="44">
        <v>10.0</v>
      </c>
      <c r="I16" s="44">
        <v>10.0</v>
      </c>
      <c r="J16" s="44">
        <v>10.0</v>
      </c>
      <c r="K16" s="44">
        <v>10.0</v>
      </c>
      <c r="L16" s="44">
        <v>10.0</v>
      </c>
      <c r="M16" s="44">
        <v>12.0</v>
      </c>
      <c r="N16" s="44">
        <v>12.0</v>
      </c>
      <c r="O16" s="44">
        <v>12.0</v>
      </c>
      <c r="P16" s="44">
        <v>12.0</v>
      </c>
      <c r="Q16" s="44"/>
      <c r="R16" s="6"/>
      <c r="S16" s="6"/>
    </row>
    <row r="17" ht="15.0" customHeight="1">
      <c r="A17" s="43" t="s">
        <v>176</v>
      </c>
      <c r="B17" s="44">
        <v>0.0</v>
      </c>
      <c r="C17" s="44">
        <v>8.0</v>
      </c>
      <c r="D17" s="44">
        <v>8.0</v>
      </c>
      <c r="E17" s="44">
        <v>8.0</v>
      </c>
      <c r="F17" s="44">
        <v>8.0</v>
      </c>
      <c r="G17" s="44">
        <v>8.0</v>
      </c>
      <c r="H17" s="44">
        <v>8.0</v>
      </c>
      <c r="I17" s="44">
        <v>8.0</v>
      </c>
      <c r="J17" s="44">
        <v>8.0</v>
      </c>
      <c r="K17" s="44">
        <v>8.0</v>
      </c>
      <c r="L17" s="44">
        <v>8.0</v>
      </c>
      <c r="M17" s="44">
        <v>8.0</v>
      </c>
      <c r="N17" s="44">
        <v>8.0</v>
      </c>
      <c r="O17" s="44">
        <v>8.0</v>
      </c>
      <c r="P17" s="44">
        <v>8.0</v>
      </c>
      <c r="Q17" s="44"/>
      <c r="R17" s="6"/>
      <c r="S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ht="15.0" customHeight="1">
      <c r="A19" s="43" t="s">
        <v>177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ht="15.0" customHeight="1">
      <c r="A20" s="44" t="s">
        <v>174</v>
      </c>
      <c r="B20" s="44">
        <v>6.0</v>
      </c>
      <c r="C20" s="44">
        <v>6.0</v>
      </c>
      <c r="D20" s="44">
        <v>6.0</v>
      </c>
      <c r="E20" s="44">
        <v>6.0</v>
      </c>
      <c r="F20" s="44">
        <v>6.0</v>
      </c>
      <c r="G20" s="44">
        <v>6.0</v>
      </c>
      <c r="H20" s="44">
        <v>6.0</v>
      </c>
      <c r="I20" s="44">
        <v>6.0</v>
      </c>
      <c r="J20" s="44">
        <v>6.0</v>
      </c>
      <c r="K20" s="44">
        <v>6.0</v>
      </c>
      <c r="L20" s="44">
        <v>6.0</v>
      </c>
      <c r="M20" s="44">
        <v>6.0</v>
      </c>
      <c r="N20" s="44">
        <v>6.0</v>
      </c>
      <c r="O20" s="44">
        <v>6.0</v>
      </c>
      <c r="P20" s="44">
        <v>6.0</v>
      </c>
      <c r="Q20" s="44"/>
      <c r="R20" s="6"/>
      <c r="S20" s="6"/>
    </row>
    <row r="21" ht="15.0" customHeight="1">
      <c r="A21" s="44" t="s">
        <v>175</v>
      </c>
      <c r="B21" s="44">
        <v>6.0</v>
      </c>
      <c r="C21" s="44">
        <v>6.0</v>
      </c>
      <c r="D21" s="44">
        <v>6.0</v>
      </c>
      <c r="E21" s="44">
        <v>6.0</v>
      </c>
      <c r="F21" s="44">
        <v>6.0</v>
      </c>
      <c r="G21" s="44">
        <v>6.0</v>
      </c>
      <c r="H21" s="44">
        <v>6.0</v>
      </c>
      <c r="I21" s="44">
        <v>6.0</v>
      </c>
      <c r="J21" s="44">
        <v>6.0</v>
      </c>
      <c r="K21" s="44">
        <v>6.0</v>
      </c>
      <c r="L21" s="44">
        <v>6.0</v>
      </c>
      <c r="M21" s="44">
        <v>6.0</v>
      </c>
      <c r="N21" s="44">
        <v>6.0</v>
      </c>
      <c r="O21" s="44">
        <v>6.0</v>
      </c>
      <c r="P21" s="44">
        <v>6.0</v>
      </c>
      <c r="Q21" s="44"/>
      <c r="R21" s="6"/>
      <c r="S21" s="6"/>
    </row>
    <row r="22" ht="15.0" customHeight="1">
      <c r="A22" s="44" t="s">
        <v>178</v>
      </c>
      <c r="B22" s="44">
        <v>0.0</v>
      </c>
      <c r="C22" s="44">
        <v>4.0</v>
      </c>
      <c r="D22" s="44">
        <v>4.0</v>
      </c>
      <c r="E22" s="44">
        <v>4.0</v>
      </c>
      <c r="F22" s="44">
        <v>4.0</v>
      </c>
      <c r="G22" s="44">
        <v>4.0</v>
      </c>
      <c r="H22" s="44">
        <v>4.0</v>
      </c>
      <c r="I22" s="44">
        <v>4.0</v>
      </c>
      <c r="J22" s="44">
        <v>4.0</v>
      </c>
      <c r="K22" s="44">
        <v>4.0</v>
      </c>
      <c r="L22" s="44">
        <v>4.0</v>
      </c>
      <c r="M22" s="44">
        <v>4.0</v>
      </c>
      <c r="N22" s="44">
        <v>4.0</v>
      </c>
      <c r="O22" s="44">
        <v>4.0</v>
      </c>
      <c r="P22" s="44">
        <v>4.0</v>
      </c>
      <c r="Q22" s="44"/>
      <c r="R22" s="6"/>
      <c r="S22" s="6"/>
    </row>
    <row r="23" ht="15.0" customHeight="1">
      <c r="A23" s="44" t="s">
        <v>173</v>
      </c>
      <c r="B23" s="44">
        <v>3.0</v>
      </c>
      <c r="C23" s="44">
        <v>5.0</v>
      </c>
      <c r="D23" s="44">
        <v>5.0</v>
      </c>
      <c r="E23" s="44">
        <v>5.0</v>
      </c>
      <c r="F23" s="44">
        <v>5.0</v>
      </c>
      <c r="G23" s="44">
        <v>5.0</v>
      </c>
      <c r="H23" s="44">
        <v>5.0</v>
      </c>
      <c r="I23" s="44">
        <v>5.0</v>
      </c>
      <c r="J23" s="44">
        <v>5.0</v>
      </c>
      <c r="K23" s="44">
        <v>5.0</v>
      </c>
      <c r="L23" s="44">
        <v>5.0</v>
      </c>
      <c r="M23" s="44">
        <v>5.0</v>
      </c>
      <c r="N23" s="44">
        <v>5.0</v>
      </c>
      <c r="O23" s="44">
        <v>5.0</v>
      </c>
      <c r="P23" s="44">
        <v>5.0</v>
      </c>
      <c r="Q23" s="44"/>
      <c r="R23" s="6"/>
      <c r="S23" s="6"/>
    </row>
    <row r="24" ht="15.0" customHeight="1">
      <c r="A24" s="44" t="s">
        <v>171</v>
      </c>
      <c r="B24" s="44">
        <v>4.0</v>
      </c>
      <c r="C24" s="44">
        <v>5.0</v>
      </c>
      <c r="D24" s="44">
        <v>5.0</v>
      </c>
      <c r="E24" s="44">
        <v>5.0</v>
      </c>
      <c r="F24" s="44">
        <v>5.0</v>
      </c>
      <c r="G24" s="44">
        <v>5.0</v>
      </c>
      <c r="H24" s="44">
        <v>5.0</v>
      </c>
      <c r="I24" s="44">
        <v>5.0</v>
      </c>
      <c r="J24" s="44">
        <v>5.0</v>
      </c>
      <c r="K24" s="44">
        <v>5.0</v>
      </c>
      <c r="L24" s="44">
        <v>5.0</v>
      </c>
      <c r="M24" s="44">
        <v>5.0</v>
      </c>
      <c r="N24" s="44">
        <v>5.0</v>
      </c>
      <c r="O24" s="44">
        <v>5.0</v>
      </c>
      <c r="P24" s="44">
        <v>5.0</v>
      </c>
      <c r="Q24" s="44"/>
      <c r="R24" s="6"/>
      <c r="S24" s="6"/>
    </row>
    <row r="25" ht="15.0" customHeight="1">
      <c r="A25" s="44" t="s">
        <v>179</v>
      </c>
      <c r="B25" s="44">
        <v>0.0</v>
      </c>
      <c r="C25" s="44">
        <v>3.0</v>
      </c>
      <c r="D25" s="44">
        <v>3.0</v>
      </c>
      <c r="E25" s="44">
        <v>3.0</v>
      </c>
      <c r="F25" s="44">
        <v>3.0</v>
      </c>
      <c r="G25" s="44">
        <v>3.0</v>
      </c>
      <c r="H25" s="44">
        <v>3.0</v>
      </c>
      <c r="I25" s="44">
        <v>3.0</v>
      </c>
      <c r="J25" s="44">
        <v>3.0</v>
      </c>
      <c r="K25" s="44">
        <v>3.0</v>
      </c>
      <c r="L25" s="44">
        <v>3.0</v>
      </c>
      <c r="M25" s="44">
        <v>3.0</v>
      </c>
      <c r="N25" s="44">
        <v>3.0</v>
      </c>
      <c r="O25" s="44">
        <v>3.0</v>
      </c>
      <c r="P25" s="44">
        <v>3.0</v>
      </c>
      <c r="Q25" s="44"/>
      <c r="R25" s="6"/>
      <c r="S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